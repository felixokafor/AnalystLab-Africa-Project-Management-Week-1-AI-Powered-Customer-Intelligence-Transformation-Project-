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3(AI_Power Customer Intelligence Transformation Project)\"/>
    </mc:Choice>
  </mc:AlternateContent>
  <xr:revisionPtr revIDLastSave="0" documentId="13_ncr:1_{78AE3C7E-529B-4BD5-8FAF-6A5D4513EFB5}" xr6:coauthVersionLast="47" xr6:coauthVersionMax="47" xr10:uidLastSave="{00000000-0000-0000-0000-000000000000}"/>
  <bookViews>
    <workbookView xWindow="-120" yWindow="-120" windowWidth="20730" windowHeight="11760" firstSheet="3" activeTab="6" xr2:uid="{DBCD5C8A-23E6-44ED-A2BC-507459EFBB1F}"/>
  </bookViews>
  <sheets>
    <sheet name="Project Schedule " sheetId="1" r:id="rId1"/>
    <sheet name="Gantt Chart" sheetId="3" r:id="rId2"/>
    <sheet name="Critical Path Analysis" sheetId="4" r:id="rId3"/>
    <sheet name="Resource Allocation" sheetId="5" r:id="rId4"/>
    <sheet name="Project Budget" sheetId="6" r:id="rId5"/>
    <sheet name="Network Diagram" sheetId="7" r:id="rId6"/>
    <sheet name="Schedule Risk Assessment" sheetId="8" r:id="rId7"/>
  </sheets>
  <definedNames>
    <definedName name="_xlnm._FilterDatabase" localSheetId="2" hidden="1">'Critical Path Analysis'!$A$5:$J$5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6" l="1"/>
  <c r="C10" i="6"/>
  <c r="C12" i="6" s="1"/>
  <c r="J8" i="4"/>
  <c r="J9" i="4"/>
  <c r="J11" i="4"/>
  <c r="J12" i="4"/>
  <c r="J13" i="4"/>
  <c r="J14" i="4"/>
  <c r="J16" i="4"/>
  <c r="J17" i="4"/>
  <c r="J18" i="4"/>
  <c r="J19" i="4"/>
  <c r="J21" i="4"/>
  <c r="J22" i="4"/>
  <c r="J23" i="4"/>
  <c r="J24" i="4"/>
  <c r="J26" i="4"/>
  <c r="J27" i="4"/>
  <c r="J28" i="4"/>
  <c r="J29" i="4"/>
  <c r="J30" i="4"/>
  <c r="J31" i="4"/>
  <c r="J33" i="4"/>
  <c r="J34" i="4"/>
  <c r="J35" i="4"/>
  <c r="J36" i="4"/>
  <c r="J37" i="4"/>
  <c r="J39" i="4"/>
  <c r="J40" i="4"/>
  <c r="J41" i="4"/>
  <c r="J42" i="4"/>
  <c r="J43" i="4"/>
  <c r="J45" i="4"/>
  <c r="J46" i="4"/>
  <c r="J47" i="4"/>
  <c r="J48" i="4"/>
  <c r="J7" i="4"/>
  <c r="G7" i="4"/>
  <c r="I7" i="4" s="1"/>
  <c r="H7" i="4"/>
  <c r="G8" i="4"/>
  <c r="I8" i="4" s="1"/>
  <c r="H8" i="4"/>
  <c r="G9" i="4"/>
  <c r="I9" i="4" s="1"/>
  <c r="H9" i="4"/>
  <c r="G11" i="4"/>
  <c r="H11" i="4"/>
  <c r="H12" i="4"/>
  <c r="G13" i="4"/>
  <c r="I13" i="4" s="1"/>
  <c r="H13" i="4"/>
  <c r="G12" i="4"/>
  <c r="I12" i="4" s="1"/>
  <c r="G14" i="4"/>
  <c r="I14" i="4" s="1"/>
  <c r="H14" i="4"/>
  <c r="E16" i="4"/>
  <c r="F16" i="4" s="1"/>
  <c r="F14" i="4"/>
  <c r="E14" i="4"/>
  <c r="F13" i="4"/>
  <c r="E13" i="4"/>
  <c r="F12" i="4"/>
  <c r="E12" i="4"/>
  <c r="F11" i="4"/>
  <c r="E11" i="4"/>
  <c r="F9" i="4"/>
  <c r="E9" i="4"/>
  <c r="F8" i="4"/>
  <c r="E8" i="4"/>
  <c r="F7" i="4"/>
  <c r="E7" i="4"/>
  <c r="E5" i="3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BE5" i="3" s="1"/>
  <c r="BF5" i="3" s="1"/>
  <c r="BG5" i="3" s="1"/>
  <c r="BH5" i="3" s="1"/>
  <c r="BI5" i="3" s="1"/>
  <c r="BJ5" i="3" s="1"/>
  <c r="BK5" i="3" s="1"/>
  <c r="BL5" i="3" s="1"/>
  <c r="BM5" i="3" s="1"/>
  <c r="BN5" i="3" s="1"/>
  <c r="BO5" i="3" s="1"/>
  <c r="BP5" i="3" s="1"/>
  <c r="BQ5" i="3" s="1"/>
  <c r="BR5" i="3" s="1"/>
  <c r="BS5" i="3" s="1"/>
  <c r="BT5" i="3" s="1"/>
  <c r="BU5" i="3" s="1"/>
  <c r="BV5" i="3" s="1"/>
  <c r="BW5" i="3" s="1"/>
  <c r="BX5" i="3" s="1"/>
  <c r="BY5" i="3" s="1"/>
  <c r="BZ5" i="3" s="1"/>
  <c r="CA5" i="3" s="1"/>
  <c r="CB5" i="3" s="1"/>
  <c r="CC5" i="3" s="1"/>
  <c r="I11" i="4" l="1"/>
  <c r="E17" i="4"/>
  <c r="F17" i="4" s="1"/>
  <c r="E18" i="4"/>
  <c r="F18" i="4" s="1"/>
  <c r="E19" i="4" l="1"/>
  <c r="F19" i="4" s="1"/>
  <c r="E22" i="4" s="1"/>
  <c r="F22" i="4" s="1"/>
  <c r="E21" i="4"/>
  <c r="F21" i="4" s="1"/>
  <c r="E23" i="4" l="1"/>
  <c r="F23" i="4" s="1"/>
  <c r="E24" i="4" s="1"/>
  <c r="F24" i="4" s="1"/>
  <c r="E26" i="4" s="1"/>
  <c r="F26" i="4" s="1"/>
  <c r="E27" i="4" s="1"/>
  <c r="F27" i="4" s="1"/>
  <c r="E28" i="4" s="1"/>
  <c r="F28" i="4" s="1"/>
  <c r="E29" i="4" s="1"/>
  <c r="F29" i="4" s="1"/>
  <c r="E30" i="4" l="1"/>
  <c r="F30" i="4" s="1"/>
  <c r="E31" i="4" s="1"/>
  <c r="F31" i="4" s="1"/>
  <c r="E33" i="4" s="1"/>
  <c r="F33" i="4" s="1"/>
  <c r="E34" i="4" s="1"/>
  <c r="F34" i="4" s="1"/>
  <c r="E36" i="4" l="1"/>
  <c r="F36" i="4" s="1"/>
  <c r="E35" i="4"/>
  <c r="F35" i="4" s="1"/>
  <c r="E37" i="4" s="1"/>
  <c r="F37" i="4" s="1"/>
  <c r="E39" i="4" s="1"/>
  <c r="F39" i="4" s="1"/>
  <c r="E40" i="4" s="1"/>
  <c r="F40" i="4" s="1"/>
  <c r="E41" i="4" s="1"/>
  <c r="F41" i="4" s="1"/>
  <c r="E42" i="4" l="1"/>
  <c r="F42" i="4" s="1"/>
  <c r="E43" i="4" s="1"/>
  <c r="F43" i="4" s="1"/>
  <c r="E45" i="4" s="1"/>
  <c r="F45" i="4" s="1"/>
  <c r="E46" i="4" s="1"/>
  <c r="F46" i="4" s="1"/>
  <c r="E47" i="4" s="1"/>
  <c r="F47" i="4" s="1"/>
  <c r="E48" i="4" s="1"/>
  <c r="F48" i="4" s="1"/>
  <c r="H48" i="4" s="1"/>
  <c r="G48" i="4" s="1"/>
  <c r="H47" i="4" l="1"/>
  <c r="G47" i="4" s="1"/>
  <c r="I47" i="4" s="1"/>
  <c r="I48" i="4"/>
  <c r="H46" i="4" l="1"/>
  <c r="G46" i="4" s="1"/>
  <c r="H45" i="4" s="1"/>
  <c r="G45" i="4" s="1"/>
  <c r="I46" i="4"/>
  <c r="H43" i="4" l="1"/>
  <c r="G43" i="4" s="1"/>
  <c r="I45" i="4"/>
  <c r="H42" i="4" l="1"/>
  <c r="G42" i="4" s="1"/>
  <c r="I42" i="4" s="1"/>
  <c r="H41" i="4"/>
  <c r="G41" i="4" s="1"/>
  <c r="I43" i="4"/>
  <c r="I41" i="4" l="1"/>
  <c r="H40" i="4"/>
  <c r="G40" i="4" s="1"/>
  <c r="I40" i="4" l="1"/>
  <c r="H39" i="4"/>
  <c r="G39" i="4" s="1"/>
  <c r="H37" i="4" l="1"/>
  <c r="G37" i="4" s="1"/>
  <c r="I39" i="4"/>
  <c r="H36" i="4" l="1"/>
  <c r="G36" i="4" s="1"/>
  <c r="I36" i="4" s="1"/>
  <c r="I37" i="4"/>
  <c r="H35" i="4"/>
  <c r="G35" i="4" s="1"/>
  <c r="H34" i="4" l="1"/>
  <c r="G34" i="4" s="1"/>
  <c r="I35" i="4"/>
  <c r="I34" i="4" l="1"/>
  <c r="H33" i="4"/>
  <c r="G33" i="4" s="1"/>
  <c r="I33" i="4" l="1"/>
  <c r="H31" i="4"/>
  <c r="G31" i="4" s="1"/>
  <c r="H29" i="4" l="1"/>
  <c r="G29" i="4" s="1"/>
  <c r="I31" i="4"/>
  <c r="H30" i="4"/>
  <c r="G30" i="4" s="1"/>
  <c r="I30" i="4" s="1"/>
  <c r="I29" i="4" l="1"/>
  <c r="H28" i="4"/>
  <c r="G28" i="4" s="1"/>
  <c r="I28" i="4" l="1"/>
  <c r="H27" i="4"/>
  <c r="G27" i="4" s="1"/>
  <c r="I27" i="4" l="1"/>
  <c r="H26" i="4"/>
  <c r="G26" i="4" s="1"/>
  <c r="H24" i="4" l="1"/>
  <c r="G24" i="4" s="1"/>
  <c r="I26" i="4"/>
  <c r="I24" i="4" l="1"/>
  <c r="H23" i="4"/>
  <c r="G23" i="4" s="1"/>
  <c r="I23" i="4" l="1"/>
  <c r="H22" i="4"/>
  <c r="G22" i="4" s="1"/>
  <c r="I22" i="4" s="1"/>
  <c r="H21" i="4"/>
  <c r="G21" i="4" s="1"/>
  <c r="I21" i="4" l="1"/>
  <c r="H19" i="4"/>
  <c r="G19" i="4" s="1"/>
  <c r="I19" i="4" l="1"/>
  <c r="H17" i="4"/>
  <c r="G17" i="4" s="1"/>
  <c r="H18" i="4"/>
  <c r="G18" i="4" s="1"/>
  <c r="I18" i="4" s="1"/>
  <c r="I17" i="4" l="1"/>
  <c r="H16" i="4"/>
  <c r="G16" i="4" s="1"/>
  <c r="I16" i="4" s="1"/>
</calcChain>
</file>

<file path=xl/sharedStrings.xml><?xml version="1.0" encoding="utf-8"?>
<sst xmlns="http://schemas.openxmlformats.org/spreadsheetml/2006/main" count="844" uniqueCount="371">
  <si>
    <t>Activity ID</t>
  </si>
  <si>
    <t>WBS Code</t>
  </si>
  <si>
    <t>Activity Name</t>
  </si>
  <si>
    <t>Duration (Days)</t>
  </si>
  <si>
    <t>Start Date</t>
  </si>
  <si>
    <t>Finish Date</t>
  </si>
  <si>
    <t>Predecessor</t>
  </si>
  <si>
    <t>Assigned Resource</t>
  </si>
  <si>
    <t>Milestone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</si>
  <si>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</si>
  <si>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</si>
  <si>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</si>
  <si>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</si>
  <si>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</si>
  <si>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</si>
  <si>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</si>
  <si>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</si>
  <si>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</si>
  <si>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</si>
  <si>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</si>
  <si>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</si>
  <si>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</si>
  <si>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</si>
  <si>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</si>
  <si>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</si>
  <si>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</si>
  <si>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</si>
  <si>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</si>
  <si>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</si>
  <si>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</si>
  <si>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</si>
  <si>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</si>
  <si>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</si>
  <si>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</si>
  <si>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</si>
  <si>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</si>
  <si>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</si>
  <si>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</si>
  <si>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</si>
  <si>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1.1.1</t>
  </si>
  <si>
    <t>1.1.2</t>
  </si>
  <si>
    <t>1.1.3</t>
  </si>
  <si>
    <t>1.2 Project Planning</t>
  </si>
  <si>
    <t>1.2.1</t>
  </si>
  <si>
    <t>1.2.2</t>
  </si>
  <si>
    <t>1.2.3</t>
  </si>
  <si>
    <t>1.2.4</t>
  </si>
  <si>
    <t>1.3 Requirements Analysis</t>
  </si>
  <si>
    <t>1.1 Project Initiation</t>
  </si>
  <si>
    <t>1.3.1</t>
  </si>
  <si>
    <t>1.3.2</t>
  </si>
  <si>
    <t>1.3.3</t>
  </si>
  <si>
    <t>1.3.4</t>
  </si>
  <si>
    <t>1.4 Solution Design</t>
  </si>
  <si>
    <t>1.4.1</t>
  </si>
  <si>
    <t>1.4.2</t>
  </si>
  <si>
    <t>1.4.3</t>
  </si>
  <si>
    <t>1.5 AI Solution Development</t>
  </si>
  <si>
    <t>1.5.1</t>
  </si>
  <si>
    <t>1.5.2</t>
  </si>
  <si>
    <t>1.5.3</t>
  </si>
  <si>
    <t>1.5.4</t>
  </si>
  <si>
    <t>1.5.5</t>
  </si>
  <si>
    <t>1.5.6</t>
  </si>
  <si>
    <t>1.6 Testing</t>
  </si>
  <si>
    <t>1.6.1</t>
  </si>
  <si>
    <t>1.6.2</t>
  </si>
  <si>
    <t>1.6.3</t>
  </si>
  <si>
    <t>1.6.4</t>
  </si>
  <si>
    <t>1.6.5</t>
  </si>
  <si>
    <t>A31</t>
  </si>
  <si>
    <t>A32</t>
  </si>
  <si>
    <t>A33</t>
  </si>
  <si>
    <t>A34</t>
  </si>
  <si>
    <t>1.7 Deployment</t>
  </si>
  <si>
    <t>1.7.1</t>
  </si>
  <si>
    <t>1.7.2</t>
  </si>
  <si>
    <t>1.7.3</t>
  </si>
  <si>
    <t>1.7.4</t>
  </si>
  <si>
    <t>1.8 Project Closure</t>
  </si>
  <si>
    <t>1.8.1</t>
  </si>
  <si>
    <t>1.8.2</t>
  </si>
  <si>
    <t>1.8.3</t>
  </si>
  <si>
    <t>1.8.4</t>
  </si>
  <si>
    <t>1.7.5</t>
  </si>
  <si>
    <t>Develop Project Charter</t>
  </si>
  <si>
    <t>Project Manager</t>
  </si>
  <si>
    <t>No</t>
  </si>
  <si>
    <t>Identify Stakeholders</t>
  </si>
  <si>
    <t>Obtain Project Approval</t>
  </si>
  <si>
    <t>Client Executive Sponsor</t>
  </si>
  <si>
    <t>Yes</t>
  </si>
  <si>
    <t>_</t>
  </si>
  <si>
    <t>Develop Project Management Plan</t>
  </si>
  <si>
    <t>Create Stakeholder Register</t>
  </si>
  <si>
    <t>Develop Risk Register</t>
  </si>
  <si>
    <t>Prepare Communication Plan</t>
  </si>
  <si>
    <t>A05,A06</t>
  </si>
  <si>
    <t>Gather Business Requirements</t>
  </si>
  <si>
    <t>Business Analyst</t>
  </si>
  <si>
    <t>Analyse Customer Data Sources</t>
  </si>
  <si>
    <t>Data Analyst</t>
  </si>
  <si>
    <t>Define Functional Requirements</t>
  </si>
  <si>
    <t>Approve Requirements</t>
  </si>
  <si>
    <t>A09,A10</t>
  </si>
  <si>
    <t>Design AI Architecture</t>
  </si>
  <si>
    <t>AI Engineer</t>
  </si>
  <si>
    <t>Design Database Structure</t>
  </si>
  <si>
    <t>Cloud Engineer</t>
  </si>
  <si>
    <t>Review &amp; Approve Solution Design</t>
  </si>
  <si>
    <t>A12,A13</t>
  </si>
  <si>
    <t>Prepare Customer Data</t>
  </si>
  <si>
    <t>Clean Customer Data</t>
  </si>
  <si>
    <t>Develop AI Model</t>
  </si>
  <si>
    <t>Validate AI Model</t>
  </si>
  <si>
    <t>Build Customer Intelligence Dashboard</t>
  </si>
  <si>
    <t>Software Developer</t>
  </si>
  <si>
    <t>Integrate Existing Systems</t>
  </si>
  <si>
    <t>Unit Testing</t>
  </si>
  <si>
    <t>QA Tester</t>
  </si>
  <si>
    <t>Integration Testing</t>
  </si>
  <si>
    <t>User Acceptance Testing</t>
  </si>
  <si>
    <t>End Users</t>
  </si>
  <si>
    <t>Resolve Defects</t>
  </si>
  <si>
    <t>Testing Sign-off</t>
  </si>
  <si>
    <t>Prepare Production Environment</t>
  </si>
  <si>
    <t>Deploy AI Solution</t>
  </si>
  <si>
    <t>Conduct User Training</t>
  </si>
  <si>
    <t>Change Management Lead</t>
  </si>
  <si>
    <t>Go-Live Approval</t>
  </si>
  <si>
    <t>Verify Production Deployment</t>
  </si>
  <si>
    <t>Final Project Review</t>
  </si>
  <si>
    <t>Obtain Client Sign-off</t>
  </si>
  <si>
    <t>Documentment Lessons Learned</t>
  </si>
  <si>
    <t>Close Project</t>
  </si>
  <si>
    <t>Quality Review</t>
  </si>
  <si>
    <t>A35</t>
  </si>
  <si>
    <t>WBS</t>
  </si>
  <si>
    <t>Project Approval</t>
  </si>
  <si>
    <t>Requirements Approval</t>
  </si>
  <si>
    <t>Solution Design Approval</t>
  </si>
  <si>
    <t>Client Sign-off</t>
  </si>
  <si>
    <t>1.4.4</t>
  </si>
  <si>
    <t>AI_Power Customer Intelligence Transformation Project</t>
  </si>
  <si>
    <t>Project Gantt Chart</t>
  </si>
  <si>
    <t>Close Project Documentation</t>
  </si>
  <si>
    <t>A04,A07</t>
  </si>
  <si>
    <t>A17,A15</t>
  </si>
  <si>
    <t>A13,A15</t>
  </si>
  <si>
    <t>A19,A20</t>
  </si>
  <si>
    <t>A24,A25</t>
  </si>
  <si>
    <t>A29,A30</t>
  </si>
  <si>
    <t>Critical Path Analysis</t>
  </si>
  <si>
    <t>Duration</t>
  </si>
  <si>
    <t>Early Start</t>
  </si>
  <si>
    <t>Early Finish</t>
  </si>
  <si>
    <t>Late Start</t>
  </si>
  <si>
    <t>Late Finish</t>
  </si>
  <si>
    <t>Total Float</t>
  </si>
  <si>
    <t>Critical?</t>
  </si>
  <si>
    <t>Project Period: 17-Aug-2026 to 01-Dec-2026</t>
  </si>
  <si>
    <t>AI-Powered Customer Intelligence Transformation Project</t>
  </si>
  <si>
    <t>Resource Allocation Plan</t>
  </si>
  <si>
    <t>1. Human Resources</t>
  </si>
  <si>
    <t>Resource</t>
  </si>
  <si>
    <t>Responsibility</t>
  </si>
  <si>
    <t>Assigned Activities</t>
  </si>
  <si>
    <t>Project Phase</t>
  </si>
  <si>
    <t>Allocation</t>
  </si>
  <si>
    <t>Notes</t>
  </si>
  <si>
    <t>Planning, coordination, monitoring, reporting and project control</t>
  </si>
  <si>
    <t>A01, A02, A04–A07, A15, A26, A32–A34</t>
  </si>
  <si>
    <t>All phases</t>
  </si>
  <si>
    <t>Throughout project</t>
  </si>
  <si>
    <t>Coordinates delivery and controls scope, schedule, risks and changes</t>
  </si>
  <si>
    <t>Approvals, business decisions and final sign-off</t>
  </si>
  <si>
    <t>A03, A11, A31, A35</t>
  </si>
  <si>
    <t>Initiation, review and closure</t>
  </si>
  <si>
    <t>Key milestones</t>
  </si>
  <si>
    <t>Provides executive decisions and approvals</t>
  </si>
  <si>
    <t>Requirements gathering and business requirements</t>
  </si>
  <si>
    <t>A08, A10</t>
  </si>
  <si>
    <t>Requirements</t>
  </si>
  <si>
    <t>As scheduled</t>
  </si>
  <si>
    <t>Translates business needs into functional requirements</t>
  </si>
  <si>
    <t>Data analysis, preparation and cleaning</t>
  </si>
  <si>
    <t>A09, A16, A17</t>
  </si>
  <si>
    <t>Data preparation</t>
  </si>
  <si>
    <t>Data phase</t>
  </si>
  <si>
    <t>Prepares reliable data for modelling and reporting</t>
  </si>
  <si>
    <t>AI architecture, model development and validation</t>
  </si>
  <si>
    <t>A12, A18, A19</t>
  </si>
  <si>
    <t>AI development</t>
  </si>
  <si>
    <t>AI phase</t>
  </si>
  <si>
    <t>Develops and validates the AI component</t>
  </si>
  <si>
    <t>Database/cloud architecture and deployment environment</t>
  </si>
  <si>
    <t>A13, A27, A28</t>
  </si>
  <si>
    <t>Technical development and deployment</t>
  </si>
  <si>
    <t>Supports infrastructure, database and deployment</t>
  </si>
  <si>
    <t>Quality assurance, testing and production verification</t>
  </si>
  <si>
    <t>A14, A22, A23, A29</t>
  </si>
  <si>
    <t>Testing</t>
  </si>
  <si>
    <t>Testing phases</t>
  </si>
  <si>
    <t>Verifies functionality, quality and production readiness</t>
  </si>
  <si>
    <t>Dashboard development, integration and defect resolution</t>
  </si>
  <si>
    <t>A20, A21, A25</t>
  </si>
  <si>
    <t>Solution development</t>
  </si>
  <si>
    <t>Development phase</t>
  </si>
  <si>
    <t>Builds and integrates the customer intelligence solution</t>
  </si>
  <si>
    <t>User acceptance testing and feedback</t>
  </si>
  <si>
    <t>User acceptance testing</t>
  </si>
  <si>
    <t>UAT</t>
  </si>
  <si>
    <t>Validates solution against user needs</t>
  </si>
  <si>
    <t>Training, adoption and change support</t>
  </si>
  <si>
    <t>Implementation</t>
  </si>
  <si>
    <t>Supports user readiness and adoption</t>
  </si>
  <si>
    <t>2. Software Resources</t>
  </si>
  <si>
    <t>Microsoft Excel</t>
  </si>
  <si>
    <t>Schedule, budget, resource planning and reporting</t>
  </si>
  <si>
    <t>Planning / Control</t>
  </si>
  <si>
    <t>Project management</t>
  </si>
  <si>
    <t>As required</t>
  </si>
  <si>
    <t>Used for project planning and analysis</t>
  </si>
  <si>
    <t>Microsoft Word</t>
  </si>
  <si>
    <t>Project documentation and reporting</t>
  </si>
  <si>
    <t>All documentation</t>
  </si>
  <si>
    <t>Used for formal reports and deliverables</t>
  </si>
  <si>
    <t>PostgreSQL</t>
  </si>
  <si>
    <t>Database management</t>
  </si>
  <si>
    <t>Database activities</t>
  </si>
  <si>
    <t>Data / Database</t>
  </si>
  <si>
    <t>Supports structured data storage</t>
  </si>
  <si>
    <t>Python</t>
  </si>
  <si>
    <t>Data processing and AI development</t>
  </si>
  <si>
    <t>AI and data activities</t>
  </si>
  <si>
    <t>Supports modelling and data processing</t>
  </si>
  <si>
    <t>Power BI</t>
  </si>
  <si>
    <t>Customer intelligence dashboard</t>
  </si>
  <si>
    <t>Dashboard activities</t>
  </si>
  <si>
    <t>Used for data visualization and reporting</t>
  </si>
  <si>
    <t>Project Collaboration Tool</t>
  </si>
  <si>
    <t>Task tracking, communication and progress monitoring</t>
  </si>
  <si>
    <t>Project-wide</t>
  </si>
  <si>
    <t>Supports execution tracking</t>
  </si>
  <si>
    <t>Cloud Platform</t>
  </si>
  <si>
    <t>Hosting and deployment</t>
  </si>
  <si>
    <t>Deployment activities</t>
  </si>
  <si>
    <t>Deployment</t>
  </si>
  <si>
    <t>Supports production environment</t>
  </si>
  <si>
    <t>3. Hardware Resources</t>
  </si>
  <si>
    <t>Development laptops</t>
  </si>
  <si>
    <t>Programming, analysis and documentation</t>
  </si>
  <si>
    <t>Required for team members</t>
  </si>
  <si>
    <t>Cloud/server infrastructure</t>
  </si>
  <si>
    <t>Database, AI solution and application hosting</t>
  </si>
  <si>
    <t>Technical activities</t>
  </si>
  <si>
    <t>Development / Deployment</t>
  </si>
  <si>
    <t>Supports scalable execution</t>
  </si>
  <si>
    <t>Reliable internet connection</t>
  </si>
  <si>
    <t>Remote collaboration and cloud access</t>
  </si>
  <si>
    <t>Required for remote project work</t>
  </si>
  <si>
    <t>Presentation equipment</t>
  </si>
  <si>
    <t>Demonstrations and training</t>
  </si>
  <si>
    <t>A30, A31, A35</t>
  </si>
  <si>
    <t>Training / Closure</t>
  </si>
  <si>
    <t>Supports stakeholder demonstrations</t>
  </si>
  <si>
    <t>4. External Services</t>
  </si>
  <si>
    <t>Cloud hosting</t>
  </si>
  <si>
    <t>Production deployment</t>
  </si>
  <si>
    <t>A27–A28</t>
  </si>
  <si>
    <t>External infrastructure service</t>
  </si>
  <si>
    <t>Cloud storage</t>
  </si>
  <si>
    <t>Data storage and backup</t>
  </si>
  <si>
    <t>Data / deployment activities</t>
  </si>
  <si>
    <t>Data / Deployment</t>
  </si>
  <si>
    <t>Supports backup and recovery</t>
  </si>
  <si>
    <t>Internet service</t>
  </si>
  <si>
    <t>Remote project execution</t>
  </si>
  <si>
    <t>External connectivity service</t>
  </si>
  <si>
    <t>Technical support</t>
  </si>
  <si>
    <t>Deployment and troubleshooting</t>
  </si>
  <si>
    <t>A28–A29</t>
  </si>
  <si>
    <t>Deployment / Testing</t>
  </si>
  <si>
    <t>Used when specialist support is needed</t>
  </si>
  <si>
    <t>Project Budget</t>
  </si>
  <si>
    <t>Budget Category</t>
  </si>
  <si>
    <t>Description</t>
  </si>
  <si>
    <t>Estimated Cost (₦)</t>
  </si>
  <si>
    <t>Assumption / Basis</t>
  </si>
  <si>
    <t>Personnel</t>
  </si>
  <si>
    <t>Project team costs covering project management, business analysis, data analysis, AI engineering, cloud engineering, software development, QA and change management.</t>
  </si>
  <si>
    <t>Planning estimate for the multidisciplinary project team.</t>
  </si>
  <si>
    <t>Software Licences</t>
  </si>
  <si>
    <t>Paid software and subscriptions required where applicable.</t>
  </si>
  <si>
    <t>Allowance for licences/subscriptions; open-source tools such as PostgreSQL and Python are assumed to have no licence cost.</t>
  </si>
  <si>
    <t>Hardware</t>
  </si>
  <si>
    <t>Development laptops and other required technical equipment.</t>
  </si>
  <si>
    <t>Planning allowance for project hardware and equipment.</t>
  </si>
  <si>
    <t>Cloud Services</t>
  </si>
  <si>
    <t>Cloud hosting, storage, computing and deployment infrastructure.</t>
  </si>
  <si>
    <t>Estimated project-period cloud usage.</t>
  </si>
  <si>
    <t>Training</t>
  </si>
  <si>
    <t>User training, adoption support and training materials.</t>
  </si>
  <si>
    <t>Estimated cost for implementation and user readiness.</t>
  </si>
  <si>
    <t>Subtotal</t>
  </si>
  <si>
    <t>Contingency Reserve</t>
  </si>
  <si>
    <t>10% of subtotal reserved for unforeseen project costs.</t>
  </si>
  <si>
    <t>10% planning reserve.</t>
  </si>
  <si>
    <t>TOTAL PROJECT BUDGET</t>
  </si>
  <si>
    <t>Week 3 – Project Network Diagram (Activity-on-Node)</t>
  </si>
  <si>
    <t>The diagram is based on the approved A01–A35 predecessor relationships from the Week 2 Project Schedule.</t>
  </si>
  <si>
    <t>Legend</t>
  </si>
  <si>
    <t>Red nodes = Critical activities (Total Float = 0)</t>
  </si>
  <si>
    <t>Blue nodes = Activities with scheduling flexibility</t>
  </si>
  <si>
    <t>Green nodes = Start / Finish</t>
  </si>
  <si>
    <t>Dependency Summary</t>
  </si>
  <si>
    <t>Predecessor(s)</t>
  </si>
  <si>
    <t>Document Lessons Learned</t>
  </si>
  <si>
    <t>Network Analysis Note</t>
  </si>
  <si>
    <t>The network shows parallel workstreams where activities can run concurrently, followed by convergence points. These relationships are used for the Week 3 Advanced Critical Path Analysis. Activities with zero total float are treated as critical; non-zero float indicates scheduling flexibility.</t>
  </si>
  <si>
    <t>Week 3 – Schedule Risk Assessment</t>
  </si>
  <si>
    <t>Risk ID</t>
  </si>
  <si>
    <t>Risk Description</t>
  </si>
  <si>
    <t>Probability</t>
  </si>
  <si>
    <t>Potential Impact</t>
  </si>
  <si>
    <t>Affected Activity / Project Area</t>
  </si>
  <si>
    <t>Mitigation Strategy</t>
  </si>
  <si>
    <t>Contingency Plan</t>
  </si>
  <si>
    <t>SR-01</t>
  </si>
  <si>
    <t>Delay in requirements gathering or approval</t>
  </si>
  <si>
    <t>Medium</t>
  </si>
  <si>
    <t>High</t>
  </si>
  <si>
    <t>A03–A04</t>
  </si>
  <si>
    <t>Set clear deadlines for requirements and conduct early stakeholder reviews</t>
  </si>
  <si>
    <t>Escalate delayed approvals and prioritize essential requirements</t>
  </si>
  <si>
    <t>SR-02</t>
  </si>
  <si>
    <t>Key technical resources become unavailable</t>
  </si>
  <si>
    <t>A05–A20</t>
  </si>
  <si>
    <t>Maintain backup resources and assign responsibilities in advance</t>
  </si>
  <si>
    <t>Reallocate available resources and prioritize critical activities</t>
  </si>
  <si>
    <t>SR-03</t>
  </si>
  <si>
    <t>AI model development or validation takes longer than planned</t>
  </si>
  <si>
    <t>A18–A20</t>
  </si>
  <si>
    <t>Conduct early technical reviews and monitor progress against milestones</t>
  </si>
  <si>
    <t>Add technical support and reduce non-essential activities where possible</t>
  </si>
  <si>
    <t>SR-04</t>
  </si>
  <si>
    <t>Technology or system failure during development/testing</t>
  </si>
  <si>
    <t>A18–A25</t>
  </si>
  <si>
    <t>Perform regular backups, system checks, and testing</t>
  </si>
  <si>
    <t>Restore from backups and use alternative development/testing resources</t>
  </si>
  <si>
    <t>SR-05</t>
  </si>
  <si>
    <t>Scope or requirements change during the project</t>
  </si>
  <si>
    <t>A03–A26</t>
  </si>
  <si>
    <t>Apply change-control procedures and obtain approval before changes</t>
  </si>
  <si>
    <t>Reprioritize scope and adjust the schedule/baseline through formal approval</t>
  </si>
  <si>
    <t>SR-06</t>
  </si>
  <si>
    <t>Delayed testing or user acceptance</t>
  </si>
  <si>
    <t>A22–A26</t>
  </si>
  <si>
    <t>Prepare test cases early and schedule testers in advance</t>
  </si>
  <si>
    <t>Prioritize critical tests and deploy additional testing resources</t>
  </si>
  <si>
    <t>SR-07</t>
  </si>
  <si>
    <t>Communication breakdown between project stakeholders</t>
  </si>
  <si>
    <t>All activities</t>
  </si>
  <si>
    <t>Hold regular progress meetings and maintain a communication tracker</t>
  </si>
  <si>
    <t>Escalate unresolved issues and arrange urgent stakeholder meetings</t>
  </si>
  <si>
    <t>SR-08</t>
  </si>
  <si>
    <t>Data availability or data-quality problems</t>
  </si>
  <si>
    <t>A05–A18</t>
  </si>
  <si>
    <t>Validate datasets early and establish data-quality checks</t>
  </si>
  <si>
    <t>Use alternative datasets or extend data-preparation activities</t>
  </si>
  <si>
    <t>Assessment note: Risks were selected specifically for their potential to delay activities, milestones, dependencies, or overall project completion.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</si>
</sst>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\₦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8"/>
      <name val="Calibri"/>
      <family val="2"/>
      <scheme val="minor"/>
    </font>
    <font>
      <b/>
      <sz val="11"/>
      <color theme="0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16"/>
      <name val="Cambria"/>
      <family val="1"/>
    </font>
    <font>
      <b/>
      <sz val="13"/>
      <name val="Cambria"/>
      <family val="1"/>
    </font>
    <font>
      <b/>
      <sz val="11"/>
      <name val="Cambria"/>
      <family val="1"/>
    </font>
    <font>
      <b/>
      <sz val="16"/>
      <color theme="1"/>
      <name val="Cambria"/>
      <family val="1"/>
    </font>
    <font>
      <b/>
      <sz val="12"/>
      <color theme="1"/>
      <name val="Cambria"/>
      <family val="1"/>
    </font>
    <font>
      <b/>
      <sz val="12"/>
      <name val="Cambria"/>
      <family val="1"/>
    </font>
    <font>
      <b/>
      <sz val="11"/>
      <color rgb="FFFFFFFF"/>
      <name val="Cambria"/>
      <family val="1"/>
    </font>
    <font>
      <b/>
      <i/>
      <sz val="11"/>
      <name val="Cambria"/>
      <family val="1"/>
    </font>
    <font>
      <b/>
      <sz val="15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theme="0"/>
        <bgColor indexed="64"/>
      </patternFill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15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/>
    <xf numFmtId="0" fontId="1" fillId="0" borderId="4" xfId="0" applyFont="1" applyBorder="1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/>
    <xf numFmtId="15" fontId="1" fillId="0" borderId="2" xfId="0" applyNumberFormat="1" applyFont="1" applyBorder="1"/>
    <xf numFmtId="15" fontId="1" fillId="0" borderId="2" xfId="0" applyNumberFormat="1" applyFont="1" applyBorder="1" applyAlignment="1">
      <alignment vertical="center"/>
    </xf>
    <xf numFmtId="0" fontId="1" fillId="0" borderId="5" xfId="0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0" fontId="1" fillId="0" borderId="3" xfId="0" applyFont="1" applyBorder="1"/>
    <xf numFmtId="15" fontId="1" fillId="0" borderId="5" xfId="0" applyNumberFormat="1" applyFont="1" applyBorder="1" applyAlignment="1">
      <alignment vertical="center"/>
    </xf>
    <xf numFmtId="0" fontId="1" fillId="0" borderId="6" xfId="0" applyFont="1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Fill="1" applyBorder="1"/>
    <xf numFmtId="0" fontId="1" fillId="0" borderId="7" xfId="0" applyFont="1" applyBorder="1" applyAlignment="1">
      <alignment vertical="top" wrapText="1"/>
    </xf>
    <xf numFmtId="165" fontId="1" fillId="0" borderId="7" xfId="0" applyNumberFormat="1" applyFont="1" applyBorder="1" applyAlignment="1">
      <alignment vertical="top" wrapText="1"/>
    </xf>
    <xf numFmtId="0" fontId="9" fillId="4" borderId="7" xfId="0" applyFont="1" applyFill="1" applyBorder="1"/>
    <xf numFmtId="165" fontId="9" fillId="4" borderId="7" xfId="0" applyNumberFormat="1" applyFont="1" applyFill="1" applyBorder="1"/>
    <xf numFmtId="0" fontId="9" fillId="3" borderId="7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vertical="top"/>
    </xf>
    <xf numFmtId="0" fontId="1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9" fillId="0" borderId="0" xfId="0" applyFont="1"/>
    <xf numFmtId="0" fontId="1" fillId="6" borderId="0" xfId="0" applyFont="1" applyFill="1"/>
    <xf numFmtId="0" fontId="1" fillId="3" borderId="0" xfId="0" applyFont="1" applyFill="1"/>
    <xf numFmtId="0" fontId="1" fillId="7" borderId="0" xfId="0" applyFont="1" applyFill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2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2" fillId="3" borderId="0" xfId="0" applyFont="1" applyFill="1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/>
    <xf numFmtId="0" fontId="12" fillId="0" borderId="0" xfId="0" applyFont="1" applyAlignment="1"/>
    <xf numFmtId="0" fontId="1" fillId="0" borderId="0" xfId="0" applyFont="1" applyAlignment="1"/>
    <xf numFmtId="0" fontId="1" fillId="0" borderId="7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8" borderId="9" xfId="0" applyFont="1" applyFill="1" applyBorder="1" applyAlignment="1">
      <alignment vertical="top"/>
    </xf>
    <xf numFmtId="0" fontId="1" fillId="9" borderId="9" xfId="0" applyFont="1" applyFill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8" borderId="11" xfId="0" applyFont="1" applyFill="1" applyBorder="1" applyAlignment="1">
      <alignment vertical="top"/>
    </xf>
    <xf numFmtId="0" fontId="1" fillId="9" borderId="11" xfId="0" applyFont="1" applyFill="1" applyBorder="1" applyAlignment="1">
      <alignment vertical="top"/>
    </xf>
    <xf numFmtId="0" fontId="9" fillId="3" borderId="7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bottom style="thin">
          <color rgb="FFB7B7B7"/>
        </bottom>
      </border>
    </dxf>
    <dxf>
      <border outline="0">
        <top style="thin">
          <color rgb="FFB7B7B7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ill>
        <patternFill>
          <bgColor theme="4" tint="0.3999450666829432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38210</xdr:rowOff>
    </xdr:from>
    <xdr:to>
      <xdr:col>18</xdr:col>
      <xdr:colOff>484157</xdr:colOff>
      <xdr:row>29</xdr:row>
      <xdr:rowOff>135866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FE5B77-1FA7-4183-AD3B-F032C79EB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52885"/>
          <a:ext cx="17687924" cy="24573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8F7C3-1A95-4E03-A995-E755E5B3985F}" name="Table1" displayName="Table1" ref="A2:I46" totalsRowShown="0" headerRowDxfId="28" dataDxfId="27">
  <autoFilter ref="A2:I46" xr:uid="{FA48F7C3-1A95-4E03-A995-E755E5B3985F}"/>
  <tableColumns count="9">
    <tableColumn id="1" xr3:uid="{312D1FFE-599D-458D-A28A-864FB7DBDAF9}" name="Activity ID" dataDxfId="26"/>
    <tableColumn id="2" xr3:uid="{54C5CF29-AE62-4E1B-86E9-B478BE66DD6F}" name="WBS Code" dataDxfId="25"/>
    <tableColumn id="3" xr3:uid="{FE6D65A1-B6D0-4109-B5EA-A50D380E5E4E}" name="Activity Name" dataDxfId="24"/>
    <tableColumn id="4" xr3:uid="{0C612BD2-745C-4EEB-A3F4-9275A887FC54}" name="Duration (Days)" dataDxfId="23"/>
    <tableColumn id="5" xr3:uid="{193EFBC2-A297-4421-8A3B-03BE45EE08C6}" name="Start Date" dataDxfId="22"/>
    <tableColumn id="6" xr3:uid="{A8D1AEDA-6C58-4AEE-ADEE-B9CD792BC6E9}" name="Finish Date" dataDxfId="21"/>
    <tableColumn id="7" xr3:uid="{64198B9E-EA9E-467D-9CA7-8FB7338F9350}" name="Predecessor" dataDxfId="20"/>
    <tableColumn id="8" xr3:uid="{382C0F6C-28C4-4ED4-B654-4D7E066EBA75}" name="Assigned Resource" dataDxfId="19"/>
    <tableColumn id="9" xr3:uid="{35A9CD6B-04D6-4F40-BE91-9D6371A7F665}" name="Milestone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CD7B64-AF03-4D9C-B265-07E5EAEBE860}" name="Table2" displayName="Table2" ref="A50:B56" totalsRowShown="0">
  <autoFilter ref="A50:B56" xr:uid="{15CD7B64-AF03-4D9C-B265-07E5EAEBE860}"/>
  <tableColumns count="2">
    <tableColumn id="1" xr3:uid="{87015888-E1BE-4C55-8F34-3A28BC7B05B7}" name="Milestone"/>
    <tableColumn id="2" xr3:uid="{C4A91692-7028-4440-997A-9C671C240051}" name="WB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D31807-8BE7-416A-A7DF-7095BB4AD4D8}" name="Table3" displayName="Table3" ref="A5:J48" totalsRowShown="0" headerRowDxfId="0">
  <autoFilter ref="A5:J48" xr:uid="{D7D31807-8BE7-416A-A7DF-7095BB4AD4D8}"/>
  <tableColumns count="10">
    <tableColumn id="1" xr3:uid="{B0EBBF79-0AA4-4D4F-B83F-8450E2CF26CB}" name="Activity ID" dataDxfId="16"/>
    <tableColumn id="2" xr3:uid="{5C7698B8-4F1F-4C62-A896-58532F96018A}" name="Activity Name" dataDxfId="15"/>
    <tableColumn id="3" xr3:uid="{532C6DFA-5C68-4DAA-B56D-ED9C7544707C}" name="Duration" dataDxfId="14"/>
    <tableColumn id="4" xr3:uid="{FF8F7EC3-4BAD-4F5B-9D49-37404C6045A3}" name="Predecessor" dataDxfId="13"/>
    <tableColumn id="5" xr3:uid="{FB2275A3-7F47-46F4-9153-2611EC26B0C0}" name="Early Start"/>
    <tableColumn id="6" xr3:uid="{DC5128CA-BA61-4A00-BC51-7B73E054D695}" name="Early Finish">
      <calculatedColumnFormula>E6+C6-1</calculatedColumnFormula>
    </tableColumn>
    <tableColumn id="7" xr3:uid="{FD632EDE-7C31-4B9D-AA01-EAC88FA43AA8}" name="Late Start">
      <calculatedColumnFormula>H6-C6+1</calculatedColumnFormula>
    </tableColumn>
    <tableColumn id="8" xr3:uid="{C6DA14B2-8E37-4E8C-8C2F-BD5B3BDFDA49}" name="Late Finish"/>
    <tableColumn id="9" xr3:uid="{95078D29-CE8F-4FF7-BABD-61C3053289ED}" name="Total Float">
      <calculatedColumnFormula>G6-E6</calculatedColumnFormula>
    </tableColumn>
    <tableColumn id="10" xr3:uid="{9F316A9A-4658-43B6-9700-5A2C7894B036}" name="Critical?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66A35D-587D-4329-99B3-D79BC977C18E}" name="Table4" displayName="Table4" ref="A4:G12" totalsRowShown="0" headerRowDxfId="1" dataDxfId="2" headerRowBorderDxfId="11" tableBorderDxfId="12" totalsRowBorderDxfId="10">
  <autoFilter ref="A4:G12" xr:uid="{B566A35D-587D-4329-99B3-D79BC977C18E}"/>
  <tableColumns count="7">
    <tableColumn id="1" xr3:uid="{E1098DC6-FF4B-42AB-A8FE-D4EA3EAC3B96}" name="Risk ID" dataDxfId="9"/>
    <tableColumn id="2" xr3:uid="{AE203F0C-2CEA-49B8-9D9B-2FCDFB926B99}" name="Risk Description" dataDxfId="8"/>
    <tableColumn id="3" xr3:uid="{B6D21ACA-306F-473C-8A5F-4A978F1BB83F}" name="Probability" dataDxfId="7"/>
    <tableColumn id="4" xr3:uid="{0AE33AFF-BA7B-47A3-8508-CA75BD8FF7E6}" name="Potential Impact" dataDxfId="6"/>
    <tableColumn id="5" xr3:uid="{A19346D5-657A-4827-A446-69B6182EB043}" name="Affected Activity / Project Area" dataDxfId="5"/>
    <tableColumn id="6" xr3:uid="{56904A2D-CD0A-4ED4-AC23-6731B8C23118}" name="Mitigation Strategy" dataDxfId="4"/>
    <tableColumn id="7" xr3:uid="{E02EB0DF-EDEB-4931-9E18-D08781F30D1A}" name="Contingency Plan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AEB0-7E23-4D29-8F55-00753CCB77C5}">
  <dimension ref="A1:I56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24.7109375" bestFit="1" customWidth="1"/>
    <col min="2" max="2" width="13.140625" customWidth="1"/>
    <col min="3" max="3" width="36.5703125" bestFit="1" customWidth="1"/>
    <col min="4" max="4" width="19.140625" customWidth="1"/>
    <col min="5" max="5" width="12.85546875" customWidth="1"/>
    <col min="6" max="6" width="14.7109375" bestFit="1" customWidth="1"/>
    <col min="7" max="7" width="16" bestFit="1" customWidth="1"/>
    <col min="8" max="8" width="24.42578125" bestFit="1" customWidth="1"/>
    <col min="9" max="9" width="13" customWidth="1"/>
  </cols>
  <sheetData>
    <row r="1" spans="1:9" ht="20.25" x14ac:dyDescent="0.25">
      <c r="A1" s="34" t="s">
        <v>143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s="2" t="s">
        <v>48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5" t="s">
        <v>9</v>
      </c>
      <c r="B4" s="5" t="s">
        <v>39</v>
      </c>
      <c r="C4" s="1" t="s">
        <v>85</v>
      </c>
      <c r="D4" s="5">
        <v>2</v>
      </c>
      <c r="E4" s="4">
        <v>46251</v>
      </c>
      <c r="F4" s="4">
        <v>46252</v>
      </c>
      <c r="G4" s="6" t="s">
        <v>92</v>
      </c>
      <c r="H4" s="5" t="s">
        <v>86</v>
      </c>
      <c r="I4" s="5" t="s">
        <v>87</v>
      </c>
    </row>
    <row r="5" spans="1:9" x14ac:dyDescent="0.25">
      <c r="A5" s="5" t="s">
        <v>10</v>
      </c>
      <c r="B5" s="5" t="s">
        <v>40</v>
      </c>
      <c r="C5" s="5" t="s">
        <v>88</v>
      </c>
      <c r="D5" s="5">
        <v>2</v>
      </c>
      <c r="E5" s="4">
        <v>46253</v>
      </c>
      <c r="F5" s="4">
        <v>46254</v>
      </c>
      <c r="G5" s="1" t="s">
        <v>9</v>
      </c>
      <c r="H5" s="5" t="s">
        <v>86</v>
      </c>
      <c r="I5" s="5" t="s">
        <v>87</v>
      </c>
    </row>
    <row r="6" spans="1:9" x14ac:dyDescent="0.25">
      <c r="A6" s="5" t="s">
        <v>11</v>
      </c>
      <c r="B6" s="5" t="s">
        <v>41</v>
      </c>
      <c r="C6" s="5" t="s">
        <v>89</v>
      </c>
      <c r="D6" s="5">
        <v>1</v>
      </c>
      <c r="E6" s="4">
        <v>46255</v>
      </c>
      <c r="F6" s="4">
        <v>46255</v>
      </c>
      <c r="G6" s="5" t="s">
        <v>10</v>
      </c>
      <c r="H6" s="5" t="s">
        <v>90</v>
      </c>
      <c r="I6" s="5" t="s">
        <v>91</v>
      </c>
    </row>
    <row r="7" spans="1:9" x14ac:dyDescent="0.25">
      <c r="A7" s="7" t="s">
        <v>42</v>
      </c>
      <c r="B7" s="5"/>
      <c r="C7" s="5"/>
      <c r="D7" s="5"/>
      <c r="E7" s="5"/>
      <c r="F7" s="5"/>
      <c r="G7" s="5"/>
      <c r="H7" s="5"/>
      <c r="I7" s="5"/>
    </row>
    <row r="8" spans="1:9" x14ac:dyDescent="0.25">
      <c r="A8" s="5" t="s">
        <v>12</v>
      </c>
      <c r="B8" s="5" t="s">
        <v>43</v>
      </c>
      <c r="C8" s="1" t="s">
        <v>93</v>
      </c>
      <c r="D8" s="5">
        <v>3</v>
      </c>
      <c r="E8" s="3">
        <v>46258</v>
      </c>
      <c r="F8" s="3">
        <v>46260</v>
      </c>
      <c r="G8" s="5" t="s">
        <v>11</v>
      </c>
      <c r="H8" s="5" t="s">
        <v>86</v>
      </c>
      <c r="I8" s="5" t="s">
        <v>87</v>
      </c>
    </row>
    <row r="9" spans="1:9" x14ac:dyDescent="0.25">
      <c r="A9" s="5" t="s">
        <v>13</v>
      </c>
      <c r="B9" s="5" t="s">
        <v>44</v>
      </c>
      <c r="C9" s="1" t="s">
        <v>94</v>
      </c>
      <c r="D9" s="5">
        <v>2</v>
      </c>
      <c r="E9" s="3">
        <v>46258</v>
      </c>
      <c r="F9" s="3">
        <v>46259</v>
      </c>
      <c r="G9" s="5" t="s">
        <v>11</v>
      </c>
      <c r="H9" s="1" t="s">
        <v>86</v>
      </c>
      <c r="I9" s="5" t="s">
        <v>87</v>
      </c>
    </row>
    <row r="10" spans="1:9" x14ac:dyDescent="0.25">
      <c r="A10" s="5" t="s">
        <v>14</v>
      </c>
      <c r="B10" s="5" t="s">
        <v>45</v>
      </c>
      <c r="C10" s="1" t="s">
        <v>95</v>
      </c>
      <c r="D10" s="5">
        <v>2</v>
      </c>
      <c r="E10" s="3">
        <v>46258</v>
      </c>
      <c r="F10" s="3">
        <v>46259</v>
      </c>
      <c r="G10" s="1" t="s">
        <v>11</v>
      </c>
      <c r="H10" s="1" t="s">
        <v>86</v>
      </c>
      <c r="I10" s="5" t="s">
        <v>87</v>
      </c>
    </row>
    <row r="11" spans="1:9" x14ac:dyDescent="0.25">
      <c r="A11" s="5" t="s">
        <v>15</v>
      </c>
      <c r="B11" s="5" t="s">
        <v>46</v>
      </c>
      <c r="C11" s="1" t="s">
        <v>96</v>
      </c>
      <c r="D11" s="5">
        <v>2</v>
      </c>
      <c r="E11" s="3">
        <v>46260</v>
      </c>
      <c r="F11" s="3">
        <v>46261</v>
      </c>
      <c r="G11" s="1" t="s">
        <v>97</v>
      </c>
      <c r="H11" s="1" t="s">
        <v>86</v>
      </c>
      <c r="I11" s="5" t="s">
        <v>87</v>
      </c>
    </row>
    <row r="12" spans="1:9" x14ac:dyDescent="0.25">
      <c r="A12" s="7" t="s">
        <v>47</v>
      </c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5" t="s">
        <v>16</v>
      </c>
      <c r="B13" s="5" t="s">
        <v>49</v>
      </c>
      <c r="C13" s="1" t="s">
        <v>98</v>
      </c>
      <c r="D13" s="5">
        <v>5</v>
      </c>
      <c r="E13" s="3">
        <v>46262</v>
      </c>
      <c r="F13" s="3">
        <v>46268</v>
      </c>
      <c r="G13" s="1" t="s">
        <v>146</v>
      </c>
      <c r="H13" s="1" t="s">
        <v>99</v>
      </c>
      <c r="I13" s="5" t="s">
        <v>87</v>
      </c>
    </row>
    <row r="14" spans="1:9" x14ac:dyDescent="0.25">
      <c r="A14" s="5" t="s">
        <v>17</v>
      </c>
      <c r="B14" s="5" t="s">
        <v>50</v>
      </c>
      <c r="C14" s="1" t="s">
        <v>100</v>
      </c>
      <c r="D14" s="5">
        <v>4</v>
      </c>
      <c r="E14" s="3">
        <v>46269</v>
      </c>
      <c r="F14" s="3">
        <v>46274</v>
      </c>
      <c r="G14" s="1" t="s">
        <v>16</v>
      </c>
      <c r="H14" s="1" t="s">
        <v>101</v>
      </c>
      <c r="I14" s="5" t="s">
        <v>87</v>
      </c>
    </row>
    <row r="15" spans="1:9" x14ac:dyDescent="0.25">
      <c r="A15" s="5" t="s">
        <v>18</v>
      </c>
      <c r="B15" s="5" t="s">
        <v>51</v>
      </c>
      <c r="C15" s="1" t="s">
        <v>102</v>
      </c>
      <c r="D15" s="5">
        <v>3</v>
      </c>
      <c r="E15" s="3">
        <v>46269</v>
      </c>
      <c r="F15" s="3">
        <v>46273</v>
      </c>
      <c r="G15" s="1" t="s">
        <v>16</v>
      </c>
      <c r="H15" s="1" t="s">
        <v>99</v>
      </c>
      <c r="I15" s="5" t="s">
        <v>87</v>
      </c>
    </row>
    <row r="16" spans="1:9" x14ac:dyDescent="0.25">
      <c r="A16" s="5" t="s">
        <v>19</v>
      </c>
      <c r="B16" s="5" t="s">
        <v>52</v>
      </c>
      <c r="C16" s="1" t="s">
        <v>103</v>
      </c>
      <c r="D16" s="5">
        <v>1</v>
      </c>
      <c r="E16" s="3">
        <v>46275</v>
      </c>
      <c r="F16" s="3">
        <v>46275</v>
      </c>
      <c r="G16" s="1" t="s">
        <v>104</v>
      </c>
      <c r="H16" s="1" t="s">
        <v>90</v>
      </c>
      <c r="I16" s="1" t="s">
        <v>91</v>
      </c>
    </row>
    <row r="17" spans="1:9" x14ac:dyDescent="0.25">
      <c r="A17" s="7" t="s">
        <v>53</v>
      </c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 t="s">
        <v>20</v>
      </c>
      <c r="B18" s="5" t="s">
        <v>54</v>
      </c>
      <c r="C18" s="1" t="s">
        <v>105</v>
      </c>
      <c r="D18" s="5">
        <v>5</v>
      </c>
      <c r="E18" s="3">
        <v>46276</v>
      </c>
      <c r="F18" s="3">
        <v>46282</v>
      </c>
      <c r="G18" s="1" t="s">
        <v>19</v>
      </c>
      <c r="H18" s="1" t="s">
        <v>106</v>
      </c>
      <c r="I18" s="5" t="s">
        <v>87</v>
      </c>
    </row>
    <row r="19" spans="1:9" x14ac:dyDescent="0.25">
      <c r="A19" s="5" t="s">
        <v>21</v>
      </c>
      <c r="B19" s="5" t="s">
        <v>55</v>
      </c>
      <c r="C19" s="1" t="s">
        <v>107</v>
      </c>
      <c r="D19" s="5">
        <v>4</v>
      </c>
      <c r="E19" s="3">
        <v>46276</v>
      </c>
      <c r="F19" s="3">
        <v>46281</v>
      </c>
      <c r="G19" s="1" t="s">
        <v>19</v>
      </c>
      <c r="H19" s="1" t="s">
        <v>108</v>
      </c>
      <c r="I19" s="5" t="s">
        <v>87</v>
      </c>
    </row>
    <row r="20" spans="1:9" x14ac:dyDescent="0.25">
      <c r="A20" s="5" t="s">
        <v>22</v>
      </c>
      <c r="B20" s="5" t="s">
        <v>56</v>
      </c>
      <c r="C20" s="5" t="s">
        <v>135</v>
      </c>
      <c r="D20" s="5">
        <v>2</v>
      </c>
      <c r="E20" s="3">
        <v>46283</v>
      </c>
      <c r="F20" s="3">
        <v>46286</v>
      </c>
      <c r="G20" s="1" t="s">
        <v>110</v>
      </c>
      <c r="H20" s="1" t="s">
        <v>119</v>
      </c>
      <c r="I20" s="5" t="s">
        <v>87</v>
      </c>
    </row>
    <row r="21" spans="1:9" x14ac:dyDescent="0.25">
      <c r="A21" s="5" t="s">
        <v>23</v>
      </c>
      <c r="B21" s="5" t="s">
        <v>142</v>
      </c>
      <c r="C21" s="1" t="s">
        <v>109</v>
      </c>
      <c r="D21" s="5">
        <v>1</v>
      </c>
      <c r="E21" s="3">
        <v>46287</v>
      </c>
      <c r="F21" s="3">
        <v>46287</v>
      </c>
      <c r="G21" s="1" t="s">
        <v>22</v>
      </c>
      <c r="H21" s="1" t="s">
        <v>86</v>
      </c>
      <c r="I21" s="1" t="s">
        <v>91</v>
      </c>
    </row>
    <row r="22" spans="1:9" x14ac:dyDescent="0.25">
      <c r="A22" s="7" t="s">
        <v>57</v>
      </c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 t="s">
        <v>24</v>
      </c>
      <c r="B23" s="5" t="s">
        <v>58</v>
      </c>
      <c r="C23" s="1" t="s">
        <v>111</v>
      </c>
      <c r="D23" s="5">
        <v>4</v>
      </c>
      <c r="E23" s="3">
        <v>46288</v>
      </c>
      <c r="F23" s="3">
        <v>46293</v>
      </c>
      <c r="G23" s="1" t="s">
        <v>148</v>
      </c>
      <c r="H23" s="1" t="s">
        <v>101</v>
      </c>
      <c r="I23" s="5" t="s">
        <v>87</v>
      </c>
    </row>
    <row r="24" spans="1:9" x14ac:dyDescent="0.25">
      <c r="A24" s="5" t="s">
        <v>25</v>
      </c>
      <c r="B24" s="5" t="s">
        <v>59</v>
      </c>
      <c r="C24" s="1" t="s">
        <v>112</v>
      </c>
      <c r="D24" s="5">
        <v>4</v>
      </c>
      <c r="E24" s="3">
        <v>46294</v>
      </c>
      <c r="F24" s="3">
        <v>46297</v>
      </c>
      <c r="G24" s="1" t="s">
        <v>24</v>
      </c>
      <c r="H24" s="1" t="s">
        <v>101</v>
      </c>
      <c r="I24" s="5" t="s">
        <v>87</v>
      </c>
    </row>
    <row r="25" spans="1:9" x14ac:dyDescent="0.25">
      <c r="A25" s="5" t="s">
        <v>26</v>
      </c>
      <c r="B25" s="5" t="s">
        <v>60</v>
      </c>
      <c r="C25" s="1" t="s">
        <v>113</v>
      </c>
      <c r="D25" s="5">
        <v>8</v>
      </c>
      <c r="E25" s="3">
        <v>46300</v>
      </c>
      <c r="F25" s="3">
        <v>46309</v>
      </c>
      <c r="G25" s="1" t="s">
        <v>147</v>
      </c>
      <c r="H25" s="1" t="s">
        <v>106</v>
      </c>
      <c r="I25" s="5" t="s">
        <v>87</v>
      </c>
    </row>
    <row r="26" spans="1:9" x14ac:dyDescent="0.25">
      <c r="A26" s="5" t="s">
        <v>27</v>
      </c>
      <c r="B26" s="5" t="s">
        <v>61</v>
      </c>
      <c r="C26" s="1" t="s">
        <v>114</v>
      </c>
      <c r="D26" s="5">
        <v>4</v>
      </c>
      <c r="E26" s="3">
        <v>46310</v>
      </c>
      <c r="F26" s="3">
        <v>46315</v>
      </c>
      <c r="G26" s="1" t="s">
        <v>26</v>
      </c>
      <c r="H26" s="1" t="s">
        <v>106</v>
      </c>
      <c r="I26" s="5" t="s">
        <v>87</v>
      </c>
    </row>
    <row r="27" spans="1:9" x14ac:dyDescent="0.25">
      <c r="A27" s="5" t="s">
        <v>28</v>
      </c>
      <c r="B27" s="5" t="s">
        <v>62</v>
      </c>
      <c r="C27" s="1" t="s">
        <v>115</v>
      </c>
      <c r="D27" s="5">
        <v>5</v>
      </c>
      <c r="E27" s="3">
        <v>46310</v>
      </c>
      <c r="F27" s="3">
        <v>46316</v>
      </c>
      <c r="G27" s="5" t="s">
        <v>26</v>
      </c>
      <c r="H27" s="1" t="s">
        <v>116</v>
      </c>
      <c r="I27" s="5" t="s">
        <v>87</v>
      </c>
    </row>
    <row r="28" spans="1:9" x14ac:dyDescent="0.25">
      <c r="A28" s="5" t="s">
        <v>29</v>
      </c>
      <c r="B28" s="5" t="s">
        <v>63</v>
      </c>
      <c r="C28" s="1" t="s">
        <v>117</v>
      </c>
      <c r="D28" s="5">
        <v>5</v>
      </c>
      <c r="E28" s="3">
        <v>46317</v>
      </c>
      <c r="F28" s="3">
        <v>46323</v>
      </c>
      <c r="G28" s="1" t="s">
        <v>149</v>
      </c>
      <c r="H28" s="1" t="s">
        <v>116</v>
      </c>
      <c r="I28" s="5" t="s">
        <v>87</v>
      </c>
    </row>
    <row r="29" spans="1:9" x14ac:dyDescent="0.25">
      <c r="A29" s="7" t="s">
        <v>64</v>
      </c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 t="s">
        <v>30</v>
      </c>
      <c r="B30" s="5" t="s">
        <v>65</v>
      </c>
      <c r="C30" s="1" t="s">
        <v>118</v>
      </c>
      <c r="D30" s="5">
        <v>3</v>
      </c>
      <c r="E30" s="3">
        <v>46324</v>
      </c>
      <c r="F30" s="3">
        <v>46328</v>
      </c>
      <c r="G30" s="1" t="s">
        <v>29</v>
      </c>
      <c r="H30" s="1" t="s">
        <v>119</v>
      </c>
      <c r="I30" s="5" t="s">
        <v>87</v>
      </c>
    </row>
    <row r="31" spans="1:9" x14ac:dyDescent="0.25">
      <c r="A31" s="5" t="s">
        <v>31</v>
      </c>
      <c r="B31" s="5" t="s">
        <v>66</v>
      </c>
      <c r="C31" s="1" t="s">
        <v>120</v>
      </c>
      <c r="D31" s="5">
        <v>4</v>
      </c>
      <c r="E31" s="3">
        <v>46298</v>
      </c>
      <c r="F31" s="3">
        <v>46332</v>
      </c>
      <c r="G31" s="1" t="s">
        <v>30</v>
      </c>
      <c r="H31" s="1" t="s">
        <v>119</v>
      </c>
      <c r="I31" s="5" t="s">
        <v>87</v>
      </c>
    </row>
    <row r="32" spans="1:9" x14ac:dyDescent="0.25">
      <c r="A32" s="5" t="s">
        <v>32</v>
      </c>
      <c r="B32" s="5" t="s">
        <v>67</v>
      </c>
      <c r="C32" s="1" t="s">
        <v>121</v>
      </c>
      <c r="D32" s="5">
        <v>3</v>
      </c>
      <c r="E32" s="3">
        <v>46335</v>
      </c>
      <c r="F32" s="3">
        <v>46337</v>
      </c>
      <c r="G32" s="1" t="s">
        <v>31</v>
      </c>
      <c r="H32" s="1" t="s">
        <v>122</v>
      </c>
      <c r="I32" s="5" t="s">
        <v>87</v>
      </c>
    </row>
    <row r="33" spans="1:9" x14ac:dyDescent="0.25">
      <c r="A33" s="5" t="s">
        <v>33</v>
      </c>
      <c r="B33" s="5" t="s">
        <v>68</v>
      </c>
      <c r="C33" s="1" t="s">
        <v>123</v>
      </c>
      <c r="D33" s="5">
        <v>3</v>
      </c>
      <c r="E33" s="3">
        <v>46335</v>
      </c>
      <c r="F33" s="3">
        <v>46337</v>
      </c>
      <c r="G33" s="1" t="s">
        <v>31</v>
      </c>
      <c r="H33" s="1" t="s">
        <v>116</v>
      </c>
      <c r="I33" s="5" t="s">
        <v>87</v>
      </c>
    </row>
    <row r="34" spans="1:9" x14ac:dyDescent="0.25">
      <c r="A34" s="5" t="s">
        <v>34</v>
      </c>
      <c r="B34" s="5" t="s">
        <v>69</v>
      </c>
      <c r="C34" s="1" t="s">
        <v>124</v>
      </c>
      <c r="D34" s="5">
        <v>1</v>
      </c>
      <c r="E34" s="3">
        <v>46338</v>
      </c>
      <c r="F34" s="3">
        <v>46338</v>
      </c>
      <c r="G34" s="1" t="s">
        <v>150</v>
      </c>
      <c r="H34" s="1" t="s">
        <v>86</v>
      </c>
      <c r="I34" s="1" t="s">
        <v>91</v>
      </c>
    </row>
    <row r="35" spans="1:9" x14ac:dyDescent="0.25">
      <c r="A35" s="7" t="s">
        <v>74</v>
      </c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 t="s">
        <v>35</v>
      </c>
      <c r="B36" s="5" t="s">
        <v>75</v>
      </c>
      <c r="C36" s="1" t="s">
        <v>125</v>
      </c>
      <c r="D36" s="5">
        <v>2</v>
      </c>
      <c r="E36" s="3">
        <v>46339</v>
      </c>
      <c r="F36" s="3">
        <v>46342</v>
      </c>
      <c r="G36" s="1" t="s">
        <v>34</v>
      </c>
      <c r="H36" s="1" t="s">
        <v>108</v>
      </c>
      <c r="I36" s="1" t="s">
        <v>87</v>
      </c>
    </row>
    <row r="37" spans="1:9" x14ac:dyDescent="0.25">
      <c r="A37" s="5" t="s">
        <v>36</v>
      </c>
      <c r="B37" s="5" t="s">
        <v>76</v>
      </c>
      <c r="C37" s="1" t="s">
        <v>126</v>
      </c>
      <c r="D37" s="5">
        <v>2</v>
      </c>
      <c r="E37" s="3">
        <v>46343</v>
      </c>
      <c r="F37" s="3">
        <v>46344</v>
      </c>
      <c r="G37" s="1" t="s">
        <v>35</v>
      </c>
      <c r="H37" s="1" t="s">
        <v>108</v>
      </c>
      <c r="I37" s="1" t="s">
        <v>91</v>
      </c>
    </row>
    <row r="38" spans="1:9" x14ac:dyDescent="0.25">
      <c r="A38" s="5" t="s">
        <v>37</v>
      </c>
      <c r="B38" s="5" t="s">
        <v>77</v>
      </c>
      <c r="C38" s="5" t="s">
        <v>130</v>
      </c>
      <c r="D38" s="5">
        <v>2</v>
      </c>
      <c r="E38" s="4">
        <v>46345</v>
      </c>
      <c r="F38" s="4">
        <v>46346</v>
      </c>
      <c r="G38" s="1" t="s">
        <v>36</v>
      </c>
      <c r="H38" s="1" t="s">
        <v>119</v>
      </c>
      <c r="I38" s="5" t="s">
        <v>87</v>
      </c>
    </row>
    <row r="39" spans="1:9" x14ac:dyDescent="0.25">
      <c r="A39" s="5" t="s">
        <v>38</v>
      </c>
      <c r="B39" s="5" t="s">
        <v>78</v>
      </c>
      <c r="C39" s="1" t="s">
        <v>127</v>
      </c>
      <c r="D39" s="5">
        <v>3</v>
      </c>
      <c r="E39" s="3">
        <v>46339</v>
      </c>
      <c r="F39" s="3">
        <v>46343</v>
      </c>
      <c r="G39" s="1" t="s">
        <v>34</v>
      </c>
      <c r="H39" s="1" t="s">
        <v>128</v>
      </c>
      <c r="I39" s="1" t="s">
        <v>87</v>
      </c>
    </row>
    <row r="40" spans="1:9" x14ac:dyDescent="0.25">
      <c r="A40" s="5" t="s">
        <v>70</v>
      </c>
      <c r="B40" s="5" t="s">
        <v>84</v>
      </c>
      <c r="C40" s="1" t="s">
        <v>129</v>
      </c>
      <c r="D40" s="5">
        <v>1</v>
      </c>
      <c r="E40" s="3">
        <v>46349</v>
      </c>
      <c r="F40" s="3">
        <v>46349</v>
      </c>
      <c r="G40" s="1" t="s">
        <v>151</v>
      </c>
      <c r="H40" s="1" t="s">
        <v>90</v>
      </c>
      <c r="I40" s="1" t="s">
        <v>91</v>
      </c>
    </row>
    <row r="41" spans="1:9" x14ac:dyDescent="0.25">
      <c r="A41" s="7" t="s">
        <v>79</v>
      </c>
      <c r="B41" s="5"/>
      <c r="C41" s="5"/>
      <c r="D41" s="5"/>
      <c r="E41" s="5"/>
      <c r="F41" s="5"/>
      <c r="G41" s="5"/>
      <c r="H41" s="5"/>
      <c r="I41" s="5"/>
    </row>
    <row r="42" spans="1:9" x14ac:dyDescent="0.25">
      <c r="A42" s="5" t="s">
        <v>71</v>
      </c>
      <c r="B42" s="5" t="s">
        <v>80</v>
      </c>
      <c r="C42" s="5" t="s">
        <v>131</v>
      </c>
      <c r="D42" s="5">
        <v>1</v>
      </c>
      <c r="E42" s="3">
        <v>46350</v>
      </c>
      <c r="F42" s="3">
        <v>46350</v>
      </c>
      <c r="G42" s="1" t="s">
        <v>70</v>
      </c>
      <c r="H42" s="1" t="s">
        <v>86</v>
      </c>
      <c r="I42" s="5" t="s">
        <v>87</v>
      </c>
    </row>
    <row r="43" spans="1:9" x14ac:dyDescent="0.25">
      <c r="A43" s="5" t="s">
        <v>72</v>
      </c>
      <c r="B43" s="5" t="s">
        <v>81</v>
      </c>
      <c r="C43" s="5" t="s">
        <v>133</v>
      </c>
      <c r="D43" s="5">
        <v>2</v>
      </c>
      <c r="E43" s="3">
        <v>46351</v>
      </c>
      <c r="F43" s="3">
        <v>46352</v>
      </c>
      <c r="G43" s="1" t="s">
        <v>71</v>
      </c>
      <c r="H43" s="1" t="s">
        <v>86</v>
      </c>
      <c r="I43" s="5" t="s">
        <v>87</v>
      </c>
    </row>
    <row r="44" spans="1:9" x14ac:dyDescent="0.25">
      <c r="A44" s="5" t="s">
        <v>73</v>
      </c>
      <c r="B44" s="5" t="s">
        <v>82</v>
      </c>
      <c r="C44" s="5" t="s">
        <v>145</v>
      </c>
      <c r="D44" s="5">
        <v>2</v>
      </c>
      <c r="E44" s="3">
        <v>46353</v>
      </c>
      <c r="F44" s="3">
        <v>46356</v>
      </c>
      <c r="G44" s="1" t="s">
        <v>72</v>
      </c>
      <c r="H44" s="1" t="s">
        <v>86</v>
      </c>
      <c r="I44" s="5" t="s">
        <v>87</v>
      </c>
    </row>
    <row r="45" spans="1:9" x14ac:dyDescent="0.25">
      <c r="A45" s="5" t="s">
        <v>136</v>
      </c>
      <c r="B45" s="5" t="s">
        <v>83</v>
      </c>
      <c r="C45" s="5" t="s">
        <v>132</v>
      </c>
      <c r="D45" s="5">
        <v>1</v>
      </c>
      <c r="E45" s="3">
        <v>46357</v>
      </c>
      <c r="F45" s="3">
        <v>46357</v>
      </c>
      <c r="G45" s="1" t="s">
        <v>73</v>
      </c>
      <c r="H45" s="1" t="s">
        <v>90</v>
      </c>
      <c r="I45" s="1" t="s">
        <v>91</v>
      </c>
    </row>
    <row r="46" spans="1:9" x14ac:dyDescent="0.25">
      <c r="A46" s="5"/>
      <c r="B46" s="5"/>
      <c r="C46" s="5"/>
      <c r="D46" s="5"/>
      <c r="E46" s="5"/>
      <c r="F46" s="5"/>
      <c r="G46" s="1"/>
      <c r="H46" s="5"/>
      <c r="I46" s="5"/>
    </row>
    <row r="49" spans="1:2" x14ac:dyDescent="0.25">
      <c r="A49" s="33" t="s">
        <v>8</v>
      </c>
      <c r="B49" s="33"/>
    </row>
    <row r="50" spans="1:2" x14ac:dyDescent="0.25">
      <c r="A50" t="s">
        <v>8</v>
      </c>
      <c r="B50" t="s">
        <v>137</v>
      </c>
    </row>
    <row r="51" spans="1:2" x14ac:dyDescent="0.25">
      <c r="A51" t="s">
        <v>138</v>
      </c>
      <c r="B51" t="s">
        <v>41</v>
      </c>
    </row>
    <row r="52" spans="1:2" x14ac:dyDescent="0.25">
      <c r="A52" t="s">
        <v>139</v>
      </c>
      <c r="B52" t="s">
        <v>52</v>
      </c>
    </row>
    <row r="53" spans="1:2" x14ac:dyDescent="0.25">
      <c r="A53" t="s">
        <v>140</v>
      </c>
      <c r="B53" t="s">
        <v>142</v>
      </c>
    </row>
    <row r="54" spans="1:2" x14ac:dyDescent="0.25">
      <c r="A54" t="s">
        <v>124</v>
      </c>
      <c r="B54" t="s">
        <v>69</v>
      </c>
    </row>
    <row r="55" spans="1:2" x14ac:dyDescent="0.25">
      <c r="A55" t="s">
        <v>129</v>
      </c>
      <c r="B55" t="s">
        <v>84</v>
      </c>
    </row>
    <row r="56" spans="1:2" x14ac:dyDescent="0.25">
      <c r="A56" t="s">
        <v>141</v>
      </c>
      <c r="B56" t="s">
        <v>83</v>
      </c>
    </row>
  </sheetData>
  <mergeCells count="2">
    <mergeCell ref="A49:B49"/>
    <mergeCell ref="A1:I1"/>
  </mergeCells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3A87-29B3-4918-B42F-ADB318202D02}">
  <dimension ref="A1:CC48"/>
  <sheetViews>
    <sheetView showGridLines="0" zoomScale="70" zoomScaleNormal="70" workbookViewId="0">
      <pane ySplit="5" topLeftCell="A6" activePane="bottomLeft" state="frozen"/>
      <selection pane="bottomLeft" activeCell="A4" sqref="A4"/>
    </sheetView>
  </sheetViews>
  <sheetFormatPr defaultRowHeight="15" x14ac:dyDescent="0.25"/>
  <cols>
    <col min="1" max="1" width="67.7109375" bestFit="1" customWidth="1"/>
    <col min="2" max="2" width="36.5703125" bestFit="1" customWidth="1"/>
    <col min="3" max="3" width="13.28515625" bestFit="1" customWidth="1"/>
    <col min="4" max="4" width="19.85546875" bestFit="1" customWidth="1"/>
    <col min="5" max="13" width="12.5703125" bestFit="1" customWidth="1"/>
    <col min="14" max="82" width="13.85546875" bestFit="1" customWidth="1"/>
  </cols>
  <sheetData>
    <row r="1" spans="1:81" ht="18" customHeight="1" x14ac:dyDescent="0.25">
      <c r="A1" s="35" t="s">
        <v>143</v>
      </c>
      <c r="B1" s="35"/>
      <c r="C1" s="35"/>
      <c r="D1" s="35"/>
    </row>
    <row r="2" spans="1:81" ht="15" customHeight="1" x14ac:dyDescent="0.25">
      <c r="A2" s="36" t="s">
        <v>144</v>
      </c>
      <c r="B2" s="36"/>
      <c r="C2" s="36"/>
      <c r="D2" s="36"/>
    </row>
    <row r="3" spans="1:81" ht="15" customHeight="1" x14ac:dyDescent="0.25">
      <c r="A3" s="37" t="s">
        <v>160</v>
      </c>
      <c r="B3" s="37"/>
      <c r="C3" s="37"/>
      <c r="D3" s="37"/>
    </row>
    <row r="4" spans="1:81" x14ac:dyDescent="0.25">
      <c r="A4" s="13" t="s">
        <v>0</v>
      </c>
      <c r="B4" s="14" t="s">
        <v>2</v>
      </c>
      <c r="C4" s="14" t="s">
        <v>4</v>
      </c>
      <c r="D4" s="14" t="s">
        <v>3</v>
      </c>
    </row>
    <row r="5" spans="1:81" x14ac:dyDescent="0.25">
      <c r="A5" s="9" t="s">
        <v>48</v>
      </c>
      <c r="B5" s="15"/>
      <c r="C5" s="15"/>
      <c r="D5" s="15"/>
      <c r="E5" s="20">
        <f>WORKDAY(DATE(2026,8,14),1)</f>
        <v>46251</v>
      </c>
      <c r="F5" s="20">
        <f>WORKDAY(E5,1)</f>
        <v>46252</v>
      </c>
      <c r="G5" s="20">
        <f t="shared" ref="G5:BR5" si="0">WORKDAY(F5,1)</f>
        <v>46253</v>
      </c>
      <c r="H5" s="20">
        <f t="shared" si="0"/>
        <v>46254</v>
      </c>
      <c r="I5" s="20">
        <f t="shared" si="0"/>
        <v>46255</v>
      </c>
      <c r="J5" s="20">
        <f t="shared" si="0"/>
        <v>46258</v>
      </c>
      <c r="K5" s="20">
        <f t="shared" si="0"/>
        <v>46259</v>
      </c>
      <c r="L5" s="20">
        <f t="shared" si="0"/>
        <v>46260</v>
      </c>
      <c r="M5" s="20">
        <f t="shared" si="0"/>
        <v>46261</v>
      </c>
      <c r="N5" s="20">
        <f t="shared" si="0"/>
        <v>46262</v>
      </c>
      <c r="O5" s="20">
        <f t="shared" si="0"/>
        <v>46265</v>
      </c>
      <c r="P5" s="20">
        <f t="shared" si="0"/>
        <v>46266</v>
      </c>
      <c r="Q5" s="20">
        <f t="shared" si="0"/>
        <v>46267</v>
      </c>
      <c r="R5" s="20">
        <f t="shared" si="0"/>
        <v>46268</v>
      </c>
      <c r="S5" s="20">
        <f t="shared" si="0"/>
        <v>46269</v>
      </c>
      <c r="T5" s="20">
        <f t="shared" si="0"/>
        <v>46272</v>
      </c>
      <c r="U5" s="20">
        <f t="shared" si="0"/>
        <v>46273</v>
      </c>
      <c r="V5" s="20">
        <f t="shared" si="0"/>
        <v>46274</v>
      </c>
      <c r="W5" s="20">
        <f t="shared" si="0"/>
        <v>46275</v>
      </c>
      <c r="X5" s="20">
        <f t="shared" si="0"/>
        <v>46276</v>
      </c>
      <c r="Y5" s="20">
        <f t="shared" si="0"/>
        <v>46279</v>
      </c>
      <c r="Z5" s="20">
        <f t="shared" si="0"/>
        <v>46280</v>
      </c>
      <c r="AA5" s="20">
        <f t="shared" si="0"/>
        <v>46281</v>
      </c>
      <c r="AB5" s="20">
        <f t="shared" si="0"/>
        <v>46282</v>
      </c>
      <c r="AC5" s="20">
        <f t="shared" si="0"/>
        <v>46283</v>
      </c>
      <c r="AD5" s="20">
        <f t="shared" si="0"/>
        <v>46286</v>
      </c>
      <c r="AE5" s="20">
        <f t="shared" si="0"/>
        <v>46287</v>
      </c>
      <c r="AF5" s="20">
        <f t="shared" si="0"/>
        <v>46288</v>
      </c>
      <c r="AG5" s="20">
        <f t="shared" si="0"/>
        <v>46289</v>
      </c>
      <c r="AH5" s="20">
        <f t="shared" si="0"/>
        <v>46290</v>
      </c>
      <c r="AI5" s="20">
        <f t="shared" si="0"/>
        <v>46293</v>
      </c>
      <c r="AJ5" s="20">
        <f t="shared" si="0"/>
        <v>46294</v>
      </c>
      <c r="AK5" s="20">
        <f t="shared" si="0"/>
        <v>46295</v>
      </c>
      <c r="AL5" s="20">
        <f t="shared" si="0"/>
        <v>46296</v>
      </c>
      <c r="AM5" s="20">
        <f t="shared" si="0"/>
        <v>46297</v>
      </c>
      <c r="AN5" s="20">
        <f t="shared" si="0"/>
        <v>46300</v>
      </c>
      <c r="AO5" s="20">
        <f t="shared" si="0"/>
        <v>46301</v>
      </c>
      <c r="AP5" s="20">
        <f t="shared" si="0"/>
        <v>46302</v>
      </c>
      <c r="AQ5" s="20">
        <f t="shared" si="0"/>
        <v>46303</v>
      </c>
      <c r="AR5" s="20">
        <f t="shared" si="0"/>
        <v>46304</v>
      </c>
      <c r="AS5" s="20">
        <f t="shared" si="0"/>
        <v>46307</v>
      </c>
      <c r="AT5" s="20">
        <f t="shared" si="0"/>
        <v>46308</v>
      </c>
      <c r="AU5" s="20">
        <f t="shared" si="0"/>
        <v>46309</v>
      </c>
      <c r="AV5" s="20">
        <f t="shared" si="0"/>
        <v>46310</v>
      </c>
      <c r="AW5" s="20">
        <f t="shared" si="0"/>
        <v>46311</v>
      </c>
      <c r="AX5" s="20">
        <f t="shared" si="0"/>
        <v>46314</v>
      </c>
      <c r="AY5" s="20">
        <f t="shared" si="0"/>
        <v>46315</v>
      </c>
      <c r="AZ5" s="20">
        <f t="shared" si="0"/>
        <v>46316</v>
      </c>
      <c r="BA5" s="20">
        <f t="shared" si="0"/>
        <v>46317</v>
      </c>
      <c r="BB5" s="20">
        <f t="shared" si="0"/>
        <v>46318</v>
      </c>
      <c r="BC5" s="20">
        <f t="shared" si="0"/>
        <v>46321</v>
      </c>
      <c r="BD5" s="20">
        <f t="shared" si="0"/>
        <v>46322</v>
      </c>
      <c r="BE5" s="20">
        <f t="shared" si="0"/>
        <v>46323</v>
      </c>
      <c r="BF5" s="20">
        <f t="shared" si="0"/>
        <v>46324</v>
      </c>
      <c r="BG5" s="20">
        <f t="shared" si="0"/>
        <v>46325</v>
      </c>
      <c r="BH5" s="20">
        <f t="shared" si="0"/>
        <v>46328</v>
      </c>
      <c r="BI5" s="20">
        <f t="shared" si="0"/>
        <v>46329</v>
      </c>
      <c r="BJ5" s="20">
        <f t="shared" si="0"/>
        <v>46330</v>
      </c>
      <c r="BK5" s="20">
        <f t="shared" si="0"/>
        <v>46331</v>
      </c>
      <c r="BL5" s="20">
        <f t="shared" si="0"/>
        <v>46332</v>
      </c>
      <c r="BM5" s="20">
        <f t="shared" si="0"/>
        <v>46335</v>
      </c>
      <c r="BN5" s="20">
        <f t="shared" si="0"/>
        <v>46336</v>
      </c>
      <c r="BO5" s="20">
        <f t="shared" si="0"/>
        <v>46337</v>
      </c>
      <c r="BP5" s="20">
        <f t="shared" si="0"/>
        <v>46338</v>
      </c>
      <c r="BQ5" s="20">
        <f t="shared" si="0"/>
        <v>46339</v>
      </c>
      <c r="BR5" s="20">
        <f t="shared" si="0"/>
        <v>46342</v>
      </c>
      <c r="BS5" s="20">
        <f t="shared" ref="BS5:CC5" si="1">WORKDAY(BR5,1)</f>
        <v>46343</v>
      </c>
      <c r="BT5" s="20">
        <f t="shared" si="1"/>
        <v>46344</v>
      </c>
      <c r="BU5" s="20">
        <f t="shared" si="1"/>
        <v>46345</v>
      </c>
      <c r="BV5" s="20">
        <f t="shared" si="1"/>
        <v>46346</v>
      </c>
      <c r="BW5" s="20">
        <f t="shared" si="1"/>
        <v>46349</v>
      </c>
      <c r="BX5" s="20">
        <f t="shared" si="1"/>
        <v>46350</v>
      </c>
      <c r="BY5" s="20">
        <f t="shared" si="1"/>
        <v>46351</v>
      </c>
      <c r="BZ5" s="20">
        <f t="shared" si="1"/>
        <v>46352</v>
      </c>
      <c r="CA5" s="20">
        <f t="shared" si="1"/>
        <v>46353</v>
      </c>
      <c r="CB5" s="20">
        <f t="shared" si="1"/>
        <v>46356</v>
      </c>
      <c r="CC5" s="21">
        <f t="shared" si="1"/>
        <v>46357</v>
      </c>
    </row>
    <row r="6" spans="1:81" x14ac:dyDescent="0.25">
      <c r="A6" s="10" t="s">
        <v>9</v>
      </c>
      <c r="B6" s="15" t="s">
        <v>85</v>
      </c>
      <c r="C6" s="17">
        <v>46251</v>
      </c>
      <c r="D6" s="16">
        <v>2</v>
      </c>
      <c r="E6" s="17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22"/>
    </row>
    <row r="7" spans="1:81" x14ac:dyDescent="0.25">
      <c r="A7" s="10" t="s">
        <v>10</v>
      </c>
      <c r="B7" s="16" t="s">
        <v>88</v>
      </c>
      <c r="C7" s="17">
        <v>46253</v>
      </c>
      <c r="D7" s="16">
        <v>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22"/>
    </row>
    <row r="8" spans="1:81" x14ac:dyDescent="0.25">
      <c r="A8" s="10" t="s">
        <v>11</v>
      </c>
      <c r="B8" s="16" t="s">
        <v>89</v>
      </c>
      <c r="C8" s="17">
        <v>46255</v>
      </c>
      <c r="D8" s="16">
        <v>1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22"/>
    </row>
    <row r="9" spans="1:81" x14ac:dyDescent="0.25">
      <c r="A9" s="11" t="s">
        <v>42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22"/>
    </row>
    <row r="10" spans="1:81" x14ac:dyDescent="0.25">
      <c r="A10" s="10" t="s">
        <v>12</v>
      </c>
      <c r="B10" s="15" t="s">
        <v>93</v>
      </c>
      <c r="C10" s="18">
        <v>46258</v>
      </c>
      <c r="D10" s="16">
        <v>3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22"/>
    </row>
    <row r="11" spans="1:81" x14ac:dyDescent="0.25">
      <c r="A11" s="10" t="s">
        <v>13</v>
      </c>
      <c r="B11" s="15" t="s">
        <v>94</v>
      </c>
      <c r="C11" s="18">
        <v>46258</v>
      </c>
      <c r="D11" s="16">
        <v>2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22"/>
    </row>
    <row r="12" spans="1:81" x14ac:dyDescent="0.25">
      <c r="A12" s="10" t="s">
        <v>14</v>
      </c>
      <c r="B12" s="15" t="s">
        <v>95</v>
      </c>
      <c r="C12" s="18">
        <v>46258</v>
      </c>
      <c r="D12" s="16">
        <v>2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22"/>
    </row>
    <row r="13" spans="1:81" x14ac:dyDescent="0.25">
      <c r="A13" s="10" t="s">
        <v>15</v>
      </c>
      <c r="B13" s="15" t="s">
        <v>96</v>
      </c>
      <c r="C13" s="18">
        <v>46260</v>
      </c>
      <c r="D13" s="16">
        <v>2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22"/>
    </row>
    <row r="14" spans="1:81" x14ac:dyDescent="0.25">
      <c r="A14" s="11" t="s">
        <v>47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22"/>
    </row>
    <row r="15" spans="1:81" x14ac:dyDescent="0.25">
      <c r="A15" s="10" t="s">
        <v>16</v>
      </c>
      <c r="B15" s="15" t="s">
        <v>98</v>
      </c>
      <c r="C15" s="18">
        <v>46262</v>
      </c>
      <c r="D15" s="16">
        <v>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22"/>
    </row>
    <row r="16" spans="1:81" x14ac:dyDescent="0.25">
      <c r="A16" s="10" t="s">
        <v>17</v>
      </c>
      <c r="B16" s="15" t="s">
        <v>100</v>
      </c>
      <c r="C16" s="18">
        <v>46269</v>
      </c>
      <c r="D16" s="16">
        <v>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22"/>
    </row>
    <row r="17" spans="1:81" x14ac:dyDescent="0.25">
      <c r="A17" s="10" t="s">
        <v>18</v>
      </c>
      <c r="B17" s="15" t="s">
        <v>102</v>
      </c>
      <c r="C17" s="18">
        <v>46269</v>
      </c>
      <c r="D17" s="16">
        <v>3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22"/>
    </row>
    <row r="18" spans="1:81" x14ac:dyDescent="0.25">
      <c r="A18" s="10" t="s">
        <v>19</v>
      </c>
      <c r="B18" s="15" t="s">
        <v>103</v>
      </c>
      <c r="C18" s="18">
        <v>46275</v>
      </c>
      <c r="D18" s="16">
        <v>1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22"/>
    </row>
    <row r="19" spans="1:81" x14ac:dyDescent="0.25">
      <c r="A19" s="11" t="s">
        <v>53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22"/>
    </row>
    <row r="20" spans="1:81" x14ac:dyDescent="0.25">
      <c r="A20" s="10" t="s">
        <v>20</v>
      </c>
      <c r="B20" s="15" t="s">
        <v>105</v>
      </c>
      <c r="C20" s="18">
        <v>46276</v>
      </c>
      <c r="D20" s="16">
        <v>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22"/>
    </row>
    <row r="21" spans="1:81" x14ac:dyDescent="0.25">
      <c r="A21" s="10" t="s">
        <v>21</v>
      </c>
      <c r="B21" s="15" t="s">
        <v>135</v>
      </c>
      <c r="C21" s="18">
        <v>46276</v>
      </c>
      <c r="D21" s="16">
        <v>4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22"/>
    </row>
    <row r="22" spans="1:81" x14ac:dyDescent="0.25">
      <c r="A22" s="10" t="s">
        <v>22</v>
      </c>
      <c r="B22" s="15" t="s">
        <v>107</v>
      </c>
      <c r="C22" s="18">
        <v>46283</v>
      </c>
      <c r="D22" s="16">
        <v>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22"/>
    </row>
    <row r="23" spans="1:81" x14ac:dyDescent="0.25">
      <c r="A23" s="10" t="s">
        <v>23</v>
      </c>
      <c r="B23" s="15" t="s">
        <v>109</v>
      </c>
      <c r="C23" s="18">
        <v>46287</v>
      </c>
      <c r="D23" s="16">
        <v>1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22"/>
    </row>
    <row r="24" spans="1:81" x14ac:dyDescent="0.25">
      <c r="A24" s="11" t="s">
        <v>57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22"/>
    </row>
    <row r="25" spans="1:81" x14ac:dyDescent="0.25">
      <c r="A25" s="10" t="s">
        <v>24</v>
      </c>
      <c r="B25" s="15" t="s">
        <v>111</v>
      </c>
      <c r="C25" s="18">
        <v>46288</v>
      </c>
      <c r="D25" s="16">
        <v>4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22"/>
    </row>
    <row r="26" spans="1:81" x14ac:dyDescent="0.25">
      <c r="A26" s="10" t="s">
        <v>25</v>
      </c>
      <c r="B26" s="15" t="s">
        <v>112</v>
      </c>
      <c r="C26" s="18">
        <v>46294</v>
      </c>
      <c r="D26" s="16">
        <v>4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22"/>
    </row>
    <row r="27" spans="1:81" x14ac:dyDescent="0.25">
      <c r="A27" s="10" t="s">
        <v>26</v>
      </c>
      <c r="B27" s="15" t="s">
        <v>113</v>
      </c>
      <c r="C27" s="18">
        <v>46300</v>
      </c>
      <c r="D27" s="16">
        <v>8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22"/>
    </row>
    <row r="28" spans="1:81" x14ac:dyDescent="0.25">
      <c r="A28" s="10" t="s">
        <v>27</v>
      </c>
      <c r="B28" s="15" t="s">
        <v>114</v>
      </c>
      <c r="C28" s="18">
        <v>46310</v>
      </c>
      <c r="D28" s="16">
        <v>4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22"/>
    </row>
    <row r="29" spans="1:81" x14ac:dyDescent="0.25">
      <c r="A29" s="10" t="s">
        <v>28</v>
      </c>
      <c r="B29" s="15" t="s">
        <v>115</v>
      </c>
      <c r="C29" s="18">
        <v>46310</v>
      </c>
      <c r="D29" s="16">
        <v>5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22"/>
    </row>
    <row r="30" spans="1:81" x14ac:dyDescent="0.25">
      <c r="A30" s="10" t="s">
        <v>29</v>
      </c>
      <c r="B30" s="15" t="s">
        <v>117</v>
      </c>
      <c r="C30" s="18">
        <v>46317</v>
      </c>
      <c r="D30" s="16">
        <v>5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22"/>
    </row>
    <row r="31" spans="1:81" x14ac:dyDescent="0.25">
      <c r="A31" s="11" t="s">
        <v>64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22"/>
    </row>
    <row r="32" spans="1:81" x14ac:dyDescent="0.25">
      <c r="A32" s="10" t="s">
        <v>30</v>
      </c>
      <c r="B32" s="15" t="s">
        <v>118</v>
      </c>
      <c r="C32" s="18">
        <v>46324</v>
      </c>
      <c r="D32" s="16">
        <v>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22"/>
    </row>
    <row r="33" spans="1:81" x14ac:dyDescent="0.25">
      <c r="A33" s="10" t="s">
        <v>31</v>
      </c>
      <c r="B33" s="15" t="s">
        <v>120</v>
      </c>
      <c r="C33" s="18">
        <v>46298</v>
      </c>
      <c r="D33" s="16">
        <v>4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22"/>
    </row>
    <row r="34" spans="1:81" x14ac:dyDescent="0.25">
      <c r="A34" s="10" t="s">
        <v>32</v>
      </c>
      <c r="B34" s="15" t="s">
        <v>121</v>
      </c>
      <c r="C34" s="18">
        <v>46335</v>
      </c>
      <c r="D34" s="16">
        <v>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22"/>
    </row>
    <row r="35" spans="1:81" x14ac:dyDescent="0.25">
      <c r="A35" s="10" t="s">
        <v>33</v>
      </c>
      <c r="B35" s="15" t="s">
        <v>123</v>
      </c>
      <c r="C35" s="18">
        <v>46335</v>
      </c>
      <c r="D35" s="16">
        <v>3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22"/>
    </row>
    <row r="36" spans="1:81" x14ac:dyDescent="0.25">
      <c r="A36" s="10" t="s">
        <v>34</v>
      </c>
      <c r="B36" s="15" t="s">
        <v>124</v>
      </c>
      <c r="C36" s="18">
        <v>46338</v>
      </c>
      <c r="D36" s="16">
        <v>1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22"/>
    </row>
    <row r="37" spans="1:81" x14ac:dyDescent="0.25">
      <c r="A37" s="11" t="s">
        <v>74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22"/>
    </row>
    <row r="38" spans="1:81" x14ac:dyDescent="0.25">
      <c r="A38" s="10" t="s">
        <v>35</v>
      </c>
      <c r="B38" s="15" t="s">
        <v>125</v>
      </c>
      <c r="C38" s="18">
        <v>46339</v>
      </c>
      <c r="D38" s="16">
        <v>2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22"/>
    </row>
    <row r="39" spans="1:81" x14ac:dyDescent="0.25">
      <c r="A39" s="10" t="s">
        <v>36</v>
      </c>
      <c r="B39" s="15" t="s">
        <v>126</v>
      </c>
      <c r="C39" s="18">
        <v>46343</v>
      </c>
      <c r="D39" s="16">
        <v>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22"/>
    </row>
    <row r="40" spans="1:81" x14ac:dyDescent="0.25">
      <c r="A40" s="10" t="s">
        <v>37</v>
      </c>
      <c r="B40" s="16" t="s">
        <v>130</v>
      </c>
      <c r="C40" s="17">
        <v>46345</v>
      </c>
      <c r="D40" s="16">
        <v>2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22"/>
    </row>
    <row r="41" spans="1:81" x14ac:dyDescent="0.25">
      <c r="A41" s="10" t="s">
        <v>38</v>
      </c>
      <c r="B41" s="15" t="s">
        <v>127</v>
      </c>
      <c r="C41" s="18">
        <v>46339</v>
      </c>
      <c r="D41" s="16">
        <v>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22"/>
    </row>
    <row r="42" spans="1:81" x14ac:dyDescent="0.25">
      <c r="A42" s="10" t="s">
        <v>70</v>
      </c>
      <c r="B42" s="15" t="s">
        <v>129</v>
      </c>
      <c r="C42" s="18">
        <v>46349</v>
      </c>
      <c r="D42" s="16">
        <v>1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22"/>
    </row>
    <row r="43" spans="1:81" x14ac:dyDescent="0.25">
      <c r="A43" s="11" t="s">
        <v>79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22"/>
    </row>
    <row r="44" spans="1:81" x14ac:dyDescent="0.25">
      <c r="A44" s="10" t="s">
        <v>71</v>
      </c>
      <c r="B44" s="16" t="s">
        <v>131</v>
      </c>
      <c r="C44" s="18">
        <v>46350</v>
      </c>
      <c r="D44" s="16">
        <v>1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22"/>
    </row>
    <row r="45" spans="1:81" x14ac:dyDescent="0.25">
      <c r="A45" s="10" t="s">
        <v>72</v>
      </c>
      <c r="B45" s="16" t="s">
        <v>132</v>
      </c>
      <c r="C45" s="18">
        <v>46351</v>
      </c>
      <c r="D45" s="16">
        <v>2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22"/>
    </row>
    <row r="46" spans="1:81" x14ac:dyDescent="0.25">
      <c r="A46" s="10" t="s">
        <v>73</v>
      </c>
      <c r="B46" s="16" t="s">
        <v>133</v>
      </c>
      <c r="C46" s="18">
        <v>46353</v>
      </c>
      <c r="D46" s="16">
        <v>2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22"/>
    </row>
    <row r="47" spans="1:81" x14ac:dyDescent="0.25">
      <c r="A47" s="10" t="s">
        <v>136</v>
      </c>
      <c r="B47" s="16" t="s">
        <v>134</v>
      </c>
      <c r="C47" s="18">
        <v>46357</v>
      </c>
      <c r="D47" s="16">
        <v>1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22"/>
    </row>
    <row r="48" spans="1:81" x14ac:dyDescent="0.25">
      <c r="A48" s="12"/>
      <c r="B48" s="19"/>
      <c r="C48" s="2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24"/>
    </row>
  </sheetData>
  <mergeCells count="3">
    <mergeCell ref="A1:D1"/>
    <mergeCell ref="A2:D2"/>
    <mergeCell ref="A3:D3"/>
  </mergeCells>
  <phoneticPr fontId="3" type="noConversion"/>
  <conditionalFormatting sqref="E6:CC47">
    <cfRule type="expression" dxfId="17" priority="1">
      <formula>AND(E$5&gt;=$C6,E$5&lt;=WORKDAY($C6,$D6-1))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8BAF-1E1C-4087-B63D-1906C89FA0F2}">
  <dimension ref="A1:J48"/>
  <sheetViews>
    <sheetView topLeftCell="A5" zoomScale="80" zoomScaleNormal="80" workbookViewId="0">
      <pane xSplit="1" ySplit="1" topLeftCell="B16" activePane="bottomRight" state="frozen"/>
      <selection activeCell="A5" sqref="A5"/>
      <selection pane="topRight" activeCell="B5" sqref="B5"/>
      <selection pane="bottomLeft" activeCell="A6" sqref="A6"/>
      <selection pane="bottomRight" activeCell="B19" sqref="B19"/>
    </sheetView>
  </sheetViews>
  <sheetFormatPr defaultRowHeight="15" x14ac:dyDescent="0.25"/>
  <cols>
    <col min="1" max="1" width="67.7109375" bestFit="1" customWidth="1"/>
    <col min="2" max="2" width="38.5703125" bestFit="1" customWidth="1"/>
    <col min="3" max="3" width="13.7109375" bestFit="1" customWidth="1"/>
    <col min="4" max="4" width="17.85546875" bestFit="1" customWidth="1"/>
    <col min="5" max="5" width="15.28515625" bestFit="1" customWidth="1"/>
    <col min="6" max="6" width="16.5703125" bestFit="1" customWidth="1"/>
    <col min="7" max="7" width="14.5703125" bestFit="1" customWidth="1"/>
    <col min="8" max="8" width="15.85546875" bestFit="1" customWidth="1"/>
    <col min="9" max="9" width="15.7109375" bestFit="1" customWidth="1"/>
    <col min="10" max="10" width="13" bestFit="1" customWidth="1"/>
  </cols>
  <sheetData>
    <row r="1" spans="1:10" ht="18" x14ac:dyDescent="0.25">
      <c r="A1" s="8" t="s">
        <v>143</v>
      </c>
    </row>
    <row r="2" spans="1:10" x14ac:dyDescent="0.25">
      <c r="A2" t="s">
        <v>152</v>
      </c>
    </row>
    <row r="5" spans="1:10" s="76" customFormat="1" ht="18.75" x14ac:dyDescent="0.25">
      <c r="A5" s="75" t="s">
        <v>0</v>
      </c>
      <c r="B5" s="75" t="s">
        <v>2</v>
      </c>
      <c r="C5" s="75" t="s">
        <v>153</v>
      </c>
      <c r="D5" s="75" t="s">
        <v>6</v>
      </c>
      <c r="E5" s="75" t="s">
        <v>154</v>
      </c>
      <c r="F5" s="75" t="s">
        <v>155</v>
      </c>
      <c r="G5" s="75" t="s">
        <v>156</v>
      </c>
      <c r="H5" s="75" t="s">
        <v>157</v>
      </c>
      <c r="I5" s="75" t="s">
        <v>158</v>
      </c>
      <c r="J5" s="75" t="s">
        <v>159</v>
      </c>
    </row>
    <row r="6" spans="1:10" x14ac:dyDescent="0.25">
      <c r="A6" s="9" t="s">
        <v>48</v>
      </c>
      <c r="B6" s="15"/>
      <c r="C6" s="15"/>
      <c r="D6" s="15"/>
    </row>
    <row r="7" spans="1:10" x14ac:dyDescent="0.25">
      <c r="A7" s="10" t="s">
        <v>9</v>
      </c>
      <c r="B7" s="15" t="s">
        <v>85</v>
      </c>
      <c r="C7" s="16">
        <v>2</v>
      </c>
      <c r="D7" s="25" t="s">
        <v>92</v>
      </c>
      <c r="E7">
        <f>1</f>
        <v>1</v>
      </c>
      <c r="F7">
        <f>E7+C7-1</f>
        <v>2</v>
      </c>
      <c r="G7">
        <f>H7-C7+1</f>
        <v>1</v>
      </c>
      <c r="H7">
        <f>G8-1</f>
        <v>2</v>
      </c>
      <c r="I7">
        <f>G7-E7</f>
        <v>0</v>
      </c>
      <c r="J7" t="str">
        <f>IF(I7=0,"Critical","No")</f>
        <v>Critical</v>
      </c>
    </row>
    <row r="8" spans="1:10" x14ac:dyDescent="0.25">
      <c r="A8" s="10" t="s">
        <v>10</v>
      </c>
      <c r="B8" s="16" t="s">
        <v>88</v>
      </c>
      <c r="C8" s="16">
        <v>2</v>
      </c>
      <c r="D8" s="15" t="s">
        <v>9</v>
      </c>
      <c r="E8">
        <f>F7+1</f>
        <v>3</v>
      </c>
      <c r="F8">
        <f>E8+C8-1</f>
        <v>4</v>
      </c>
      <c r="G8">
        <f>H8-C8+1</f>
        <v>3</v>
      </c>
      <c r="H8">
        <f>G9-1</f>
        <v>4</v>
      </c>
      <c r="I8">
        <f t="shared" ref="I8:I48" si="0">G8-E8</f>
        <v>0</v>
      </c>
      <c r="J8" t="str">
        <f t="shared" ref="J8:J48" si="1">IF(I8=0,"Critical","No")</f>
        <v>Critical</v>
      </c>
    </row>
    <row r="9" spans="1:10" x14ac:dyDescent="0.25">
      <c r="A9" s="10" t="s">
        <v>11</v>
      </c>
      <c r="B9" s="16" t="s">
        <v>89</v>
      </c>
      <c r="C9" s="16">
        <v>1</v>
      </c>
      <c r="D9" s="16" t="s">
        <v>10</v>
      </c>
      <c r="E9">
        <f>F8+1</f>
        <v>5</v>
      </c>
      <c r="F9" s="26">
        <f>E9+C9-1</f>
        <v>5</v>
      </c>
      <c r="G9">
        <f>H9-C9+1</f>
        <v>5</v>
      </c>
      <c r="H9">
        <f>MIN(7,6,6)-1</f>
        <v>5</v>
      </c>
      <c r="I9">
        <f t="shared" si="0"/>
        <v>0</v>
      </c>
      <c r="J9" t="str">
        <f t="shared" si="1"/>
        <v>Critical</v>
      </c>
    </row>
    <row r="10" spans="1:10" x14ac:dyDescent="0.25">
      <c r="A10" s="11" t="s">
        <v>42</v>
      </c>
      <c r="B10" s="16"/>
      <c r="C10" s="16"/>
      <c r="D10" s="16"/>
    </row>
    <row r="11" spans="1:10" x14ac:dyDescent="0.25">
      <c r="A11" s="10" t="s">
        <v>12</v>
      </c>
      <c r="B11" s="15" t="s">
        <v>93</v>
      </c>
      <c r="C11" s="16">
        <v>3</v>
      </c>
      <c r="D11" s="16" t="s">
        <v>11</v>
      </c>
      <c r="E11">
        <f>F9+1</f>
        <v>6</v>
      </c>
      <c r="F11">
        <f>E11+C11-1</f>
        <v>8</v>
      </c>
      <c r="G11">
        <f>H11-C11+1</f>
        <v>7</v>
      </c>
      <c r="H11">
        <f>G16-1</f>
        <v>9</v>
      </c>
      <c r="I11">
        <f t="shared" si="0"/>
        <v>1</v>
      </c>
      <c r="J11" t="str">
        <f t="shared" si="1"/>
        <v>No</v>
      </c>
    </row>
    <row r="12" spans="1:10" x14ac:dyDescent="0.25">
      <c r="A12" s="10" t="s">
        <v>13</v>
      </c>
      <c r="B12" s="15" t="s">
        <v>94</v>
      </c>
      <c r="C12" s="16">
        <v>2</v>
      </c>
      <c r="D12" s="16" t="s">
        <v>11</v>
      </c>
      <c r="E12">
        <f>F9+1</f>
        <v>6</v>
      </c>
      <c r="F12">
        <f>E12+C12-1</f>
        <v>7</v>
      </c>
      <c r="G12">
        <f>H12-C12+1</f>
        <v>6</v>
      </c>
      <c r="H12">
        <f>G14-1</f>
        <v>7</v>
      </c>
      <c r="I12">
        <f t="shared" si="0"/>
        <v>0</v>
      </c>
      <c r="J12" t="str">
        <f t="shared" si="1"/>
        <v>Critical</v>
      </c>
    </row>
    <row r="13" spans="1:10" x14ac:dyDescent="0.25">
      <c r="A13" s="10" t="s">
        <v>14</v>
      </c>
      <c r="B13" s="15" t="s">
        <v>95</v>
      </c>
      <c r="C13" s="16">
        <v>2</v>
      </c>
      <c r="D13" s="15" t="s">
        <v>11</v>
      </c>
      <c r="E13">
        <f>F9+1</f>
        <v>6</v>
      </c>
      <c r="F13">
        <f>E13+C13-1</f>
        <v>7</v>
      </c>
      <c r="G13">
        <f>H13-C13+1</f>
        <v>6</v>
      </c>
      <c r="H13">
        <f>G14-1</f>
        <v>7</v>
      </c>
      <c r="I13">
        <f t="shared" si="0"/>
        <v>0</v>
      </c>
      <c r="J13" t="str">
        <f t="shared" si="1"/>
        <v>Critical</v>
      </c>
    </row>
    <row r="14" spans="1:10" x14ac:dyDescent="0.25">
      <c r="A14" s="10" t="s">
        <v>15</v>
      </c>
      <c r="B14" s="15" t="s">
        <v>96</v>
      </c>
      <c r="C14" s="16">
        <v>2</v>
      </c>
      <c r="D14" s="15" t="s">
        <v>97</v>
      </c>
      <c r="E14">
        <f>MAX(F12,F13)+1</f>
        <v>8</v>
      </c>
      <c r="F14">
        <f>E14+C14-1</f>
        <v>9</v>
      </c>
      <c r="G14">
        <f>H14-C14+1</f>
        <v>8</v>
      </c>
      <c r="H14">
        <f>G16-1</f>
        <v>9</v>
      </c>
      <c r="I14">
        <f t="shared" si="0"/>
        <v>0</v>
      </c>
      <c r="J14" t="str">
        <f t="shared" si="1"/>
        <v>Critical</v>
      </c>
    </row>
    <row r="15" spans="1:10" x14ac:dyDescent="0.25">
      <c r="A15" s="11" t="s">
        <v>47</v>
      </c>
      <c r="B15" s="16"/>
      <c r="C15" s="16"/>
      <c r="D15" s="16"/>
    </row>
    <row r="16" spans="1:10" x14ac:dyDescent="0.25">
      <c r="A16" s="10" t="s">
        <v>16</v>
      </c>
      <c r="B16" s="15" t="s">
        <v>98</v>
      </c>
      <c r="C16" s="16">
        <v>5</v>
      </c>
      <c r="D16" s="15" t="s">
        <v>146</v>
      </c>
      <c r="E16">
        <f>F14+1</f>
        <v>10</v>
      </c>
      <c r="F16">
        <f>E16+C16-1</f>
        <v>14</v>
      </c>
      <c r="G16">
        <f>H16-C16+1</f>
        <v>10</v>
      </c>
      <c r="H16">
        <f>MIN(G17,G18)-1</f>
        <v>14</v>
      </c>
      <c r="I16">
        <f t="shared" si="0"/>
        <v>0</v>
      </c>
      <c r="J16" t="str">
        <f t="shared" si="1"/>
        <v>Critical</v>
      </c>
    </row>
    <row r="17" spans="1:10" x14ac:dyDescent="0.25">
      <c r="A17" s="10" t="s">
        <v>17</v>
      </c>
      <c r="B17" s="15" t="s">
        <v>100</v>
      </c>
      <c r="C17" s="16">
        <v>4</v>
      </c>
      <c r="D17" s="15" t="s">
        <v>16</v>
      </c>
      <c r="E17">
        <f>F16+1</f>
        <v>15</v>
      </c>
      <c r="F17">
        <f>E17+C17-1</f>
        <v>18</v>
      </c>
      <c r="G17">
        <f>H17-C17+1</f>
        <v>15</v>
      </c>
      <c r="H17">
        <f>G19-1</f>
        <v>18</v>
      </c>
      <c r="I17">
        <f t="shared" si="0"/>
        <v>0</v>
      </c>
      <c r="J17" t="str">
        <f t="shared" si="1"/>
        <v>Critical</v>
      </c>
    </row>
    <row r="18" spans="1:10" x14ac:dyDescent="0.25">
      <c r="A18" s="10" t="s">
        <v>18</v>
      </c>
      <c r="B18" s="15" t="s">
        <v>102</v>
      </c>
      <c r="C18" s="16">
        <v>3</v>
      </c>
      <c r="D18" s="15" t="s">
        <v>16</v>
      </c>
      <c r="E18">
        <f>F16+1</f>
        <v>15</v>
      </c>
      <c r="F18">
        <f>E18+C18-1</f>
        <v>17</v>
      </c>
      <c r="G18">
        <f>H18-C18+1</f>
        <v>16</v>
      </c>
      <c r="H18">
        <f>G19-1</f>
        <v>18</v>
      </c>
      <c r="I18">
        <f t="shared" si="0"/>
        <v>1</v>
      </c>
      <c r="J18" t="str">
        <f t="shared" si="1"/>
        <v>No</v>
      </c>
    </row>
    <row r="19" spans="1:10" x14ac:dyDescent="0.25">
      <c r="A19" s="10" t="s">
        <v>19</v>
      </c>
      <c r="B19" s="15" t="s">
        <v>103</v>
      </c>
      <c r="C19" s="16">
        <v>1</v>
      </c>
      <c r="D19" s="15" t="s">
        <v>104</v>
      </c>
      <c r="E19">
        <f>MAX(F17,F18)+1</f>
        <v>19</v>
      </c>
      <c r="F19">
        <f>E19+C19-1</f>
        <v>19</v>
      </c>
      <c r="G19">
        <f>H19-C19+1</f>
        <v>19</v>
      </c>
      <c r="H19">
        <f>MIN(G21,G22)-1</f>
        <v>19</v>
      </c>
      <c r="I19">
        <f t="shared" si="0"/>
        <v>0</v>
      </c>
      <c r="J19" t="str">
        <f t="shared" si="1"/>
        <v>Critical</v>
      </c>
    </row>
    <row r="20" spans="1:10" x14ac:dyDescent="0.25">
      <c r="A20" s="11" t="s">
        <v>53</v>
      </c>
      <c r="B20" s="16"/>
      <c r="C20" s="16"/>
      <c r="D20" s="16"/>
    </row>
    <row r="21" spans="1:10" x14ac:dyDescent="0.25">
      <c r="A21" s="10" t="s">
        <v>20</v>
      </c>
      <c r="B21" s="15" t="s">
        <v>105</v>
      </c>
      <c r="C21" s="16">
        <v>5</v>
      </c>
      <c r="D21" s="15" t="s">
        <v>19</v>
      </c>
      <c r="E21">
        <f>F19+1</f>
        <v>20</v>
      </c>
      <c r="F21">
        <f>E21+C21-1</f>
        <v>24</v>
      </c>
      <c r="G21">
        <f>H21-C21+1</f>
        <v>20</v>
      </c>
      <c r="H21">
        <f>G23-1</f>
        <v>24</v>
      </c>
      <c r="I21">
        <f t="shared" si="0"/>
        <v>0</v>
      </c>
      <c r="J21" t="str">
        <f t="shared" si="1"/>
        <v>Critical</v>
      </c>
    </row>
    <row r="22" spans="1:10" x14ac:dyDescent="0.25">
      <c r="A22" s="10" t="s">
        <v>21</v>
      </c>
      <c r="B22" s="15" t="s">
        <v>107</v>
      </c>
      <c r="C22" s="16">
        <v>4</v>
      </c>
      <c r="D22" s="15" t="s">
        <v>19</v>
      </c>
      <c r="E22">
        <f>F19+1</f>
        <v>20</v>
      </c>
      <c r="F22">
        <f>E22+C22-1</f>
        <v>23</v>
      </c>
      <c r="G22">
        <f>H22-C22+1</f>
        <v>21</v>
      </c>
      <c r="H22">
        <f>G23-1</f>
        <v>24</v>
      </c>
      <c r="I22">
        <f t="shared" si="0"/>
        <v>1</v>
      </c>
      <c r="J22" t="str">
        <f t="shared" si="1"/>
        <v>No</v>
      </c>
    </row>
    <row r="23" spans="1:10" x14ac:dyDescent="0.25">
      <c r="A23" s="10" t="s">
        <v>22</v>
      </c>
      <c r="B23" s="16" t="s">
        <v>135</v>
      </c>
      <c r="C23" s="16">
        <v>2</v>
      </c>
      <c r="D23" s="15" t="s">
        <v>110</v>
      </c>
      <c r="E23">
        <f>MAX(F21,F22)+1</f>
        <v>25</v>
      </c>
      <c r="F23">
        <f>E23+C23-1</f>
        <v>26</v>
      </c>
      <c r="G23">
        <f>H23-C23+1</f>
        <v>25</v>
      </c>
      <c r="H23">
        <f>G24-1</f>
        <v>26</v>
      </c>
      <c r="I23">
        <f t="shared" si="0"/>
        <v>0</v>
      </c>
      <c r="J23" t="str">
        <f t="shared" si="1"/>
        <v>Critical</v>
      </c>
    </row>
    <row r="24" spans="1:10" x14ac:dyDescent="0.25">
      <c r="A24" s="10" t="s">
        <v>23</v>
      </c>
      <c r="B24" s="15" t="s">
        <v>109</v>
      </c>
      <c r="C24" s="16">
        <v>1</v>
      </c>
      <c r="D24" s="15" t="s">
        <v>22</v>
      </c>
      <c r="E24">
        <f>F23+1</f>
        <v>27</v>
      </c>
      <c r="F24">
        <f>E24+C24-1</f>
        <v>27</v>
      </c>
      <c r="G24">
        <f>H24-C24+1</f>
        <v>27</v>
      </c>
      <c r="H24">
        <f>G26-1</f>
        <v>27</v>
      </c>
      <c r="I24">
        <f t="shared" si="0"/>
        <v>0</v>
      </c>
      <c r="J24" t="str">
        <f t="shared" si="1"/>
        <v>Critical</v>
      </c>
    </row>
    <row r="25" spans="1:10" x14ac:dyDescent="0.25">
      <c r="A25" s="11" t="s">
        <v>57</v>
      </c>
      <c r="B25" s="16"/>
      <c r="C25" s="16"/>
      <c r="D25" s="16"/>
    </row>
    <row r="26" spans="1:10" x14ac:dyDescent="0.25">
      <c r="A26" s="10" t="s">
        <v>24</v>
      </c>
      <c r="B26" s="15" t="s">
        <v>111</v>
      </c>
      <c r="C26" s="16">
        <v>4</v>
      </c>
      <c r="D26" s="15" t="s">
        <v>148</v>
      </c>
      <c r="E26">
        <f>F24+1</f>
        <v>28</v>
      </c>
      <c r="F26">
        <f t="shared" ref="F26:F31" si="2">E26+C26-1</f>
        <v>31</v>
      </c>
      <c r="G26">
        <f t="shared" ref="G26:G31" si="3">H26-C26+1</f>
        <v>28</v>
      </c>
      <c r="H26">
        <f>G27-1</f>
        <v>31</v>
      </c>
      <c r="I26">
        <f t="shared" si="0"/>
        <v>0</v>
      </c>
      <c r="J26" t="str">
        <f t="shared" si="1"/>
        <v>Critical</v>
      </c>
    </row>
    <row r="27" spans="1:10" x14ac:dyDescent="0.25">
      <c r="A27" s="10" t="s">
        <v>25</v>
      </c>
      <c r="B27" s="15" t="s">
        <v>112</v>
      </c>
      <c r="C27" s="16">
        <v>4</v>
      </c>
      <c r="D27" s="15" t="s">
        <v>24</v>
      </c>
      <c r="E27">
        <f>F26+1</f>
        <v>32</v>
      </c>
      <c r="F27">
        <f t="shared" si="2"/>
        <v>35</v>
      </c>
      <c r="G27">
        <f t="shared" si="3"/>
        <v>32</v>
      </c>
      <c r="H27">
        <f>G28-1</f>
        <v>35</v>
      </c>
      <c r="I27">
        <f t="shared" si="0"/>
        <v>0</v>
      </c>
      <c r="J27" t="str">
        <f t="shared" si="1"/>
        <v>Critical</v>
      </c>
    </row>
    <row r="28" spans="1:10" x14ac:dyDescent="0.25">
      <c r="A28" s="10" t="s">
        <v>26</v>
      </c>
      <c r="B28" s="15" t="s">
        <v>113</v>
      </c>
      <c r="C28" s="16">
        <v>8</v>
      </c>
      <c r="D28" s="15" t="s">
        <v>147</v>
      </c>
      <c r="E28">
        <f>F27+1</f>
        <v>36</v>
      </c>
      <c r="F28">
        <f t="shared" si="2"/>
        <v>43</v>
      </c>
      <c r="G28">
        <f t="shared" si="3"/>
        <v>36</v>
      </c>
      <c r="H28">
        <f>MIN(G29,G30)-1</f>
        <v>43</v>
      </c>
      <c r="I28">
        <f t="shared" si="0"/>
        <v>0</v>
      </c>
      <c r="J28" t="str">
        <f t="shared" si="1"/>
        <v>Critical</v>
      </c>
    </row>
    <row r="29" spans="1:10" x14ac:dyDescent="0.25">
      <c r="A29" s="10" t="s">
        <v>27</v>
      </c>
      <c r="B29" s="15" t="s">
        <v>114</v>
      </c>
      <c r="C29" s="16">
        <v>4</v>
      </c>
      <c r="D29" s="15" t="s">
        <v>26</v>
      </c>
      <c r="E29">
        <f>F28+1</f>
        <v>44</v>
      </c>
      <c r="F29">
        <f t="shared" si="2"/>
        <v>47</v>
      </c>
      <c r="G29">
        <f t="shared" si="3"/>
        <v>45</v>
      </c>
      <c r="H29">
        <f>G31-1</f>
        <v>48</v>
      </c>
      <c r="I29">
        <f t="shared" si="0"/>
        <v>1</v>
      </c>
      <c r="J29" t="str">
        <f t="shared" si="1"/>
        <v>No</v>
      </c>
    </row>
    <row r="30" spans="1:10" x14ac:dyDescent="0.25">
      <c r="A30" s="10" t="s">
        <v>28</v>
      </c>
      <c r="B30" s="15" t="s">
        <v>115</v>
      </c>
      <c r="C30" s="16">
        <v>5</v>
      </c>
      <c r="D30" s="16" t="s">
        <v>26</v>
      </c>
      <c r="E30">
        <f>F28+1</f>
        <v>44</v>
      </c>
      <c r="F30">
        <f t="shared" si="2"/>
        <v>48</v>
      </c>
      <c r="G30">
        <f t="shared" si="3"/>
        <v>44</v>
      </c>
      <c r="H30">
        <f>G31-1</f>
        <v>48</v>
      </c>
      <c r="I30">
        <f t="shared" si="0"/>
        <v>0</v>
      </c>
      <c r="J30" t="str">
        <f t="shared" si="1"/>
        <v>Critical</v>
      </c>
    </row>
    <row r="31" spans="1:10" x14ac:dyDescent="0.25">
      <c r="A31" s="10" t="s">
        <v>29</v>
      </c>
      <c r="B31" s="15" t="s">
        <v>117</v>
      </c>
      <c r="C31" s="16">
        <v>5</v>
      </c>
      <c r="D31" s="15" t="s">
        <v>149</v>
      </c>
      <c r="E31">
        <f>MAX(F29,F30)+1</f>
        <v>49</v>
      </c>
      <c r="F31">
        <f t="shared" si="2"/>
        <v>53</v>
      </c>
      <c r="G31">
        <f t="shared" si="3"/>
        <v>49</v>
      </c>
      <c r="H31">
        <f>G33-1</f>
        <v>53</v>
      </c>
      <c r="I31">
        <f t="shared" si="0"/>
        <v>0</v>
      </c>
      <c r="J31" t="str">
        <f t="shared" si="1"/>
        <v>Critical</v>
      </c>
    </row>
    <row r="32" spans="1:10" x14ac:dyDescent="0.25">
      <c r="A32" s="11" t="s">
        <v>64</v>
      </c>
      <c r="B32" s="16"/>
      <c r="C32" s="16"/>
      <c r="D32" s="16"/>
    </row>
    <row r="33" spans="1:10" x14ac:dyDescent="0.25">
      <c r="A33" s="10" t="s">
        <v>30</v>
      </c>
      <c r="B33" s="15" t="s">
        <v>118</v>
      </c>
      <c r="C33" s="16">
        <v>3</v>
      </c>
      <c r="D33" s="15" t="s">
        <v>29</v>
      </c>
      <c r="E33">
        <f>F31+1</f>
        <v>54</v>
      </c>
      <c r="F33">
        <f>E33+C33-1</f>
        <v>56</v>
      </c>
      <c r="G33">
        <f>H33-C33+1</f>
        <v>54</v>
      </c>
      <c r="H33">
        <f>G34-1</f>
        <v>56</v>
      </c>
      <c r="I33">
        <f t="shared" si="0"/>
        <v>0</v>
      </c>
      <c r="J33" t="str">
        <f t="shared" si="1"/>
        <v>Critical</v>
      </c>
    </row>
    <row r="34" spans="1:10" x14ac:dyDescent="0.25">
      <c r="A34" s="10" t="s">
        <v>31</v>
      </c>
      <c r="B34" s="15" t="s">
        <v>120</v>
      </c>
      <c r="C34" s="16">
        <v>4</v>
      </c>
      <c r="D34" s="15" t="s">
        <v>30</v>
      </c>
      <c r="E34">
        <f>F33+1</f>
        <v>57</v>
      </c>
      <c r="F34">
        <f>E34+C34-1</f>
        <v>60</v>
      </c>
      <c r="G34">
        <f>H34-C34+1</f>
        <v>57</v>
      </c>
      <c r="H34">
        <f>MIN(G35,G36)-1</f>
        <v>60</v>
      </c>
      <c r="I34">
        <f t="shared" si="0"/>
        <v>0</v>
      </c>
      <c r="J34" t="str">
        <f t="shared" si="1"/>
        <v>Critical</v>
      </c>
    </row>
    <row r="35" spans="1:10" x14ac:dyDescent="0.25">
      <c r="A35" s="10" t="s">
        <v>32</v>
      </c>
      <c r="B35" s="15" t="s">
        <v>121</v>
      </c>
      <c r="C35" s="16">
        <v>3</v>
      </c>
      <c r="D35" s="15" t="s">
        <v>31</v>
      </c>
      <c r="E35">
        <f>F34+1</f>
        <v>61</v>
      </c>
      <c r="F35">
        <f>E35+C35-1</f>
        <v>63</v>
      </c>
      <c r="G35">
        <f>H35-C35+1</f>
        <v>61</v>
      </c>
      <c r="H35">
        <f>G37-1</f>
        <v>63</v>
      </c>
      <c r="I35">
        <f t="shared" si="0"/>
        <v>0</v>
      </c>
      <c r="J35" t="str">
        <f t="shared" si="1"/>
        <v>Critical</v>
      </c>
    </row>
    <row r="36" spans="1:10" x14ac:dyDescent="0.25">
      <c r="A36" s="10" t="s">
        <v>33</v>
      </c>
      <c r="B36" s="15" t="s">
        <v>123</v>
      </c>
      <c r="C36" s="16">
        <v>3</v>
      </c>
      <c r="D36" s="15" t="s">
        <v>31</v>
      </c>
      <c r="E36">
        <f>F34+1</f>
        <v>61</v>
      </c>
      <c r="F36">
        <f>E36+C36-1</f>
        <v>63</v>
      </c>
      <c r="G36">
        <f>H36-C36+1</f>
        <v>61</v>
      </c>
      <c r="H36">
        <f>G37-1</f>
        <v>63</v>
      </c>
      <c r="I36">
        <f t="shared" si="0"/>
        <v>0</v>
      </c>
      <c r="J36" t="str">
        <f t="shared" si="1"/>
        <v>Critical</v>
      </c>
    </row>
    <row r="37" spans="1:10" x14ac:dyDescent="0.25">
      <c r="A37" s="10" t="s">
        <v>34</v>
      </c>
      <c r="B37" s="15" t="s">
        <v>124</v>
      </c>
      <c r="C37" s="16">
        <v>1</v>
      </c>
      <c r="D37" s="15" t="s">
        <v>150</v>
      </c>
      <c r="E37">
        <f>MAX(F35,F36)+1</f>
        <v>64</v>
      </c>
      <c r="F37">
        <f>E37+C37-1</f>
        <v>64</v>
      </c>
      <c r="G37">
        <f>H37-C37+1</f>
        <v>64</v>
      </c>
      <c r="H37">
        <f>MIN(G39,G42)-1</f>
        <v>64</v>
      </c>
      <c r="I37">
        <f t="shared" si="0"/>
        <v>0</v>
      </c>
      <c r="J37" t="str">
        <f t="shared" si="1"/>
        <v>Critical</v>
      </c>
    </row>
    <row r="38" spans="1:10" x14ac:dyDescent="0.25">
      <c r="A38" s="11" t="s">
        <v>74</v>
      </c>
      <c r="B38" s="16"/>
      <c r="C38" s="16"/>
      <c r="D38" s="16"/>
    </row>
    <row r="39" spans="1:10" x14ac:dyDescent="0.25">
      <c r="A39" s="10" t="s">
        <v>35</v>
      </c>
      <c r="B39" s="15" t="s">
        <v>125</v>
      </c>
      <c r="C39" s="16">
        <v>2</v>
      </c>
      <c r="D39" s="15" t="s">
        <v>34</v>
      </c>
      <c r="E39">
        <f>F37+1</f>
        <v>65</v>
      </c>
      <c r="F39">
        <f>E39+C39-1</f>
        <v>66</v>
      </c>
      <c r="G39">
        <f>H39-C39+1</f>
        <v>65</v>
      </c>
      <c r="H39">
        <f>G40-1</f>
        <v>66</v>
      </c>
      <c r="I39">
        <f t="shared" si="0"/>
        <v>0</v>
      </c>
      <c r="J39" t="str">
        <f t="shared" si="1"/>
        <v>Critical</v>
      </c>
    </row>
    <row r="40" spans="1:10" x14ac:dyDescent="0.25">
      <c r="A40" s="10" t="s">
        <v>36</v>
      </c>
      <c r="B40" s="15" t="s">
        <v>126</v>
      </c>
      <c r="C40" s="16">
        <v>2</v>
      </c>
      <c r="D40" s="15" t="s">
        <v>35</v>
      </c>
      <c r="E40">
        <f>F39+1</f>
        <v>67</v>
      </c>
      <c r="F40">
        <f>E40+C40-1</f>
        <v>68</v>
      </c>
      <c r="G40">
        <f>H40-C40+1</f>
        <v>67</v>
      </c>
      <c r="H40">
        <f>G41-1</f>
        <v>68</v>
      </c>
      <c r="I40">
        <f t="shared" si="0"/>
        <v>0</v>
      </c>
      <c r="J40" t="str">
        <f t="shared" si="1"/>
        <v>Critical</v>
      </c>
    </row>
    <row r="41" spans="1:10" x14ac:dyDescent="0.25">
      <c r="A41" s="10" t="s">
        <v>37</v>
      </c>
      <c r="B41" s="16" t="s">
        <v>130</v>
      </c>
      <c r="C41" s="16">
        <v>2</v>
      </c>
      <c r="D41" s="15" t="s">
        <v>36</v>
      </c>
      <c r="E41">
        <f>F40+1</f>
        <v>69</v>
      </c>
      <c r="F41">
        <f>E41+C41-1</f>
        <v>70</v>
      </c>
      <c r="G41">
        <f>H41-C41+1</f>
        <v>69</v>
      </c>
      <c r="H41">
        <f>G43-1</f>
        <v>70</v>
      </c>
      <c r="I41">
        <f t="shared" si="0"/>
        <v>0</v>
      </c>
      <c r="J41" t="str">
        <f t="shared" si="1"/>
        <v>Critical</v>
      </c>
    </row>
    <row r="42" spans="1:10" x14ac:dyDescent="0.25">
      <c r="A42" s="10" t="s">
        <v>38</v>
      </c>
      <c r="B42" s="15" t="s">
        <v>127</v>
      </c>
      <c r="C42" s="16">
        <v>3</v>
      </c>
      <c r="D42" s="15" t="s">
        <v>34</v>
      </c>
      <c r="E42">
        <f>F37+1</f>
        <v>65</v>
      </c>
      <c r="F42">
        <f>E42+C42-1</f>
        <v>67</v>
      </c>
      <c r="G42">
        <f>H42-C42+1</f>
        <v>68</v>
      </c>
      <c r="H42">
        <f>G43-1</f>
        <v>70</v>
      </c>
      <c r="I42">
        <f t="shared" si="0"/>
        <v>3</v>
      </c>
      <c r="J42" t="str">
        <f t="shared" si="1"/>
        <v>No</v>
      </c>
    </row>
    <row r="43" spans="1:10" x14ac:dyDescent="0.25">
      <c r="A43" s="10" t="s">
        <v>70</v>
      </c>
      <c r="B43" s="15" t="s">
        <v>129</v>
      </c>
      <c r="C43" s="16">
        <v>1</v>
      </c>
      <c r="D43" s="15" t="s">
        <v>151</v>
      </c>
      <c r="E43">
        <f>MAX(F41,F42)+1</f>
        <v>71</v>
      </c>
      <c r="F43">
        <f>E43+C43-1</f>
        <v>71</v>
      </c>
      <c r="G43">
        <f>H43-C43+1</f>
        <v>71</v>
      </c>
      <c r="H43">
        <f>G45-1</f>
        <v>71</v>
      </c>
      <c r="I43">
        <f t="shared" si="0"/>
        <v>0</v>
      </c>
      <c r="J43" t="str">
        <f t="shared" si="1"/>
        <v>Critical</v>
      </c>
    </row>
    <row r="44" spans="1:10" x14ac:dyDescent="0.25">
      <c r="A44" s="11" t="s">
        <v>79</v>
      </c>
      <c r="B44" s="16"/>
      <c r="C44" s="16"/>
      <c r="D44" s="16"/>
    </row>
    <row r="45" spans="1:10" x14ac:dyDescent="0.25">
      <c r="A45" s="10" t="s">
        <v>71</v>
      </c>
      <c r="B45" s="16" t="s">
        <v>131</v>
      </c>
      <c r="C45" s="16">
        <v>1</v>
      </c>
      <c r="D45" s="15" t="s">
        <v>70</v>
      </c>
      <c r="E45">
        <f>F43+1</f>
        <v>72</v>
      </c>
      <c r="F45">
        <f>E45+C45-1</f>
        <v>72</v>
      </c>
      <c r="G45">
        <f>H45-C45+1</f>
        <v>72</v>
      </c>
      <c r="H45">
        <f>G46-1</f>
        <v>72</v>
      </c>
      <c r="I45">
        <f t="shared" si="0"/>
        <v>0</v>
      </c>
      <c r="J45" t="str">
        <f t="shared" si="1"/>
        <v>Critical</v>
      </c>
    </row>
    <row r="46" spans="1:10" x14ac:dyDescent="0.25">
      <c r="A46" s="10" t="s">
        <v>72</v>
      </c>
      <c r="B46" s="16" t="s">
        <v>133</v>
      </c>
      <c r="C46" s="16">
        <v>2</v>
      </c>
      <c r="D46" s="15" t="s">
        <v>71</v>
      </c>
      <c r="E46">
        <f>F45+1</f>
        <v>73</v>
      </c>
      <c r="F46">
        <f>E46+C46-1</f>
        <v>74</v>
      </c>
      <c r="G46">
        <f>H46-C46+1</f>
        <v>73</v>
      </c>
      <c r="H46">
        <f>G47-1</f>
        <v>74</v>
      </c>
      <c r="I46">
        <f t="shared" si="0"/>
        <v>0</v>
      </c>
      <c r="J46" t="str">
        <f t="shared" si="1"/>
        <v>Critical</v>
      </c>
    </row>
    <row r="47" spans="1:10" x14ac:dyDescent="0.25">
      <c r="A47" s="10" t="s">
        <v>73</v>
      </c>
      <c r="B47" s="16" t="s">
        <v>145</v>
      </c>
      <c r="C47" s="16">
        <v>2</v>
      </c>
      <c r="D47" s="15" t="s">
        <v>72</v>
      </c>
      <c r="E47">
        <f>F46+1</f>
        <v>75</v>
      </c>
      <c r="F47">
        <f>E47+C47-1</f>
        <v>76</v>
      </c>
      <c r="G47">
        <f>H47-C47+1</f>
        <v>75</v>
      </c>
      <c r="H47">
        <f>G48-1</f>
        <v>76</v>
      </c>
      <c r="I47">
        <f t="shared" si="0"/>
        <v>0</v>
      </c>
      <c r="J47" t="str">
        <f t="shared" si="1"/>
        <v>Critical</v>
      </c>
    </row>
    <row r="48" spans="1:10" x14ac:dyDescent="0.25">
      <c r="A48" s="10" t="s">
        <v>136</v>
      </c>
      <c r="B48" s="16" t="s">
        <v>132</v>
      </c>
      <c r="C48" s="16">
        <v>1</v>
      </c>
      <c r="D48" s="15" t="s">
        <v>73</v>
      </c>
      <c r="E48">
        <f>F47+1</f>
        <v>77</v>
      </c>
      <c r="F48">
        <f>E48+C48-1</f>
        <v>77</v>
      </c>
      <c r="G48">
        <f>H48-C48+1</f>
        <v>77</v>
      </c>
      <c r="H48">
        <f>F48</f>
        <v>77</v>
      </c>
      <c r="I48">
        <f t="shared" si="0"/>
        <v>0</v>
      </c>
      <c r="J48" t="str">
        <f t="shared" si="1"/>
        <v>Critical</v>
      </c>
    </row>
  </sheetData>
  <pageMargins left="0.7" right="0.7" top="0.75" bottom="0.75" header="0.3" footer="0.3"/>
  <pageSetup orientation="portrait" r:id="rId1"/>
  <ignoredErrors>
    <ignoredError sqref="E17 H13 H30 H41" formula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B304-66B1-45DC-BFB4-B54801EE850D}">
  <dimension ref="A1:F39"/>
  <sheetViews>
    <sheetView zoomScale="80" zoomScaleNormal="80" workbookViewId="0">
      <pane ySplit="2" topLeftCell="A3" activePane="bottomLeft" state="frozen"/>
      <selection pane="bottomLeft" activeCell="B7" sqref="B7"/>
    </sheetView>
  </sheetViews>
  <sheetFormatPr defaultColWidth="27.5703125" defaultRowHeight="14.25" x14ac:dyDescent="0.2"/>
  <cols>
    <col min="1" max="1" width="27.85546875" style="5" bestFit="1" customWidth="1"/>
    <col min="2" max="2" width="46" style="5" bestFit="1" customWidth="1"/>
    <col min="3" max="3" width="28" style="5" bestFit="1" customWidth="1"/>
    <col min="4" max="4" width="28.7109375" style="5" bestFit="1" customWidth="1"/>
    <col min="5" max="5" width="20" style="5" bestFit="1" customWidth="1"/>
    <col min="6" max="6" width="42.42578125" style="5" bestFit="1" customWidth="1"/>
    <col min="7" max="16384" width="27.5703125" style="5"/>
  </cols>
  <sheetData>
    <row r="1" spans="1:6" ht="20.25" x14ac:dyDescent="0.2">
      <c r="A1" s="38" t="s">
        <v>161</v>
      </c>
      <c r="B1" s="39"/>
      <c r="C1" s="39"/>
      <c r="D1" s="39"/>
      <c r="E1" s="39"/>
      <c r="F1" s="39"/>
    </row>
    <row r="2" spans="1:6" ht="16.5" x14ac:dyDescent="0.2">
      <c r="A2" s="40" t="s">
        <v>162</v>
      </c>
      <c r="B2" s="39"/>
      <c r="C2" s="39"/>
      <c r="D2" s="39"/>
      <c r="E2" s="39"/>
      <c r="F2" s="39"/>
    </row>
    <row r="3" spans="1:6" x14ac:dyDescent="0.2">
      <c r="A3" s="32"/>
      <c r="B3" s="32"/>
      <c r="C3" s="32"/>
      <c r="D3" s="32"/>
      <c r="E3" s="32"/>
      <c r="F3" s="32"/>
    </row>
    <row r="4" spans="1:6" ht="15.75" x14ac:dyDescent="0.2">
      <c r="A4" s="52" t="s">
        <v>163</v>
      </c>
      <c r="B4" s="53"/>
      <c r="C4" s="53"/>
      <c r="D4" s="53"/>
      <c r="E4" s="53"/>
      <c r="F4" s="53"/>
    </row>
    <row r="5" spans="1:6" ht="20.25" customHeight="1" x14ac:dyDescent="0.2">
      <c r="A5" s="57" t="s">
        <v>164</v>
      </c>
      <c r="B5" s="57" t="s">
        <v>165</v>
      </c>
      <c r="C5" s="57" t="s">
        <v>166</v>
      </c>
      <c r="D5" s="57" t="s">
        <v>167</v>
      </c>
      <c r="E5" s="57" t="s">
        <v>168</v>
      </c>
      <c r="F5" s="57" t="s">
        <v>169</v>
      </c>
    </row>
    <row r="6" spans="1:6" ht="28.5" x14ac:dyDescent="0.2">
      <c r="A6" s="54" t="s">
        <v>86</v>
      </c>
      <c r="B6" s="54" t="s">
        <v>170</v>
      </c>
      <c r="C6" s="54" t="s">
        <v>171</v>
      </c>
      <c r="D6" s="54" t="s">
        <v>172</v>
      </c>
      <c r="E6" s="54" t="s">
        <v>173</v>
      </c>
      <c r="F6" s="54" t="s">
        <v>174</v>
      </c>
    </row>
    <row r="7" spans="1:6" s="55" customFormat="1" ht="19.5" customHeight="1" x14ac:dyDescent="0.25">
      <c r="A7" s="54" t="s">
        <v>90</v>
      </c>
      <c r="B7" s="54" t="s">
        <v>175</v>
      </c>
      <c r="C7" s="54" t="s">
        <v>176</v>
      </c>
      <c r="D7" s="54" t="s">
        <v>177</v>
      </c>
      <c r="E7" s="54" t="s">
        <v>178</v>
      </c>
      <c r="F7" s="54" t="s">
        <v>179</v>
      </c>
    </row>
    <row r="8" spans="1:6" ht="28.5" x14ac:dyDescent="0.2">
      <c r="A8" s="54" t="s">
        <v>99</v>
      </c>
      <c r="B8" s="54" t="s">
        <v>180</v>
      </c>
      <c r="C8" s="54" t="s">
        <v>181</v>
      </c>
      <c r="D8" s="54" t="s">
        <v>182</v>
      </c>
      <c r="E8" s="54" t="s">
        <v>183</v>
      </c>
      <c r="F8" s="54" t="s">
        <v>184</v>
      </c>
    </row>
    <row r="9" spans="1:6" ht="28.5" x14ac:dyDescent="0.2">
      <c r="A9" s="54" t="s">
        <v>101</v>
      </c>
      <c r="B9" s="54" t="s">
        <v>185</v>
      </c>
      <c r="C9" s="54" t="s">
        <v>186</v>
      </c>
      <c r="D9" s="54" t="s">
        <v>187</v>
      </c>
      <c r="E9" s="54" t="s">
        <v>188</v>
      </c>
      <c r="F9" s="54" t="s">
        <v>189</v>
      </c>
    </row>
    <row r="10" spans="1:6" ht="28.5" x14ac:dyDescent="0.2">
      <c r="A10" s="54" t="s">
        <v>106</v>
      </c>
      <c r="B10" s="54" t="s">
        <v>190</v>
      </c>
      <c r="C10" s="54" t="s">
        <v>191</v>
      </c>
      <c r="D10" s="54" t="s">
        <v>192</v>
      </c>
      <c r="E10" s="54" t="s">
        <v>193</v>
      </c>
      <c r="F10" s="54" t="s">
        <v>194</v>
      </c>
    </row>
    <row r="11" spans="1:6" ht="28.5" x14ac:dyDescent="0.2">
      <c r="A11" s="54" t="s">
        <v>108</v>
      </c>
      <c r="B11" s="54" t="s">
        <v>195</v>
      </c>
      <c r="C11" s="54" t="s">
        <v>196</v>
      </c>
      <c r="D11" s="54" t="s">
        <v>197</v>
      </c>
      <c r="E11" s="54" t="s">
        <v>183</v>
      </c>
      <c r="F11" s="54" t="s">
        <v>198</v>
      </c>
    </row>
    <row r="12" spans="1:6" ht="28.5" x14ac:dyDescent="0.2">
      <c r="A12" s="54" t="s">
        <v>119</v>
      </c>
      <c r="B12" s="54" t="s">
        <v>199</v>
      </c>
      <c r="C12" s="54" t="s">
        <v>200</v>
      </c>
      <c r="D12" s="54" t="s">
        <v>201</v>
      </c>
      <c r="E12" s="54" t="s">
        <v>202</v>
      </c>
      <c r="F12" s="54" t="s">
        <v>203</v>
      </c>
    </row>
    <row r="13" spans="1:6" ht="28.5" x14ac:dyDescent="0.2">
      <c r="A13" s="54" t="s">
        <v>116</v>
      </c>
      <c r="B13" s="54" t="s">
        <v>204</v>
      </c>
      <c r="C13" s="54" t="s">
        <v>205</v>
      </c>
      <c r="D13" s="54" t="s">
        <v>206</v>
      </c>
      <c r="E13" s="54" t="s">
        <v>207</v>
      </c>
      <c r="F13" s="54" t="s">
        <v>208</v>
      </c>
    </row>
    <row r="14" spans="1:6" x14ac:dyDescent="0.2">
      <c r="A14" s="54" t="s">
        <v>122</v>
      </c>
      <c r="B14" s="54" t="s">
        <v>209</v>
      </c>
      <c r="C14" s="54" t="s">
        <v>32</v>
      </c>
      <c r="D14" s="54" t="s">
        <v>210</v>
      </c>
      <c r="E14" s="54" t="s">
        <v>211</v>
      </c>
      <c r="F14" s="54" t="s">
        <v>212</v>
      </c>
    </row>
    <row r="15" spans="1:6" x14ac:dyDescent="0.2">
      <c r="A15" s="54" t="s">
        <v>128</v>
      </c>
      <c r="B15" s="54" t="s">
        <v>213</v>
      </c>
      <c r="C15" s="54" t="s">
        <v>38</v>
      </c>
      <c r="D15" s="54" t="s">
        <v>214</v>
      </c>
      <c r="E15" s="54" t="s">
        <v>183</v>
      </c>
      <c r="F15" s="54" t="s">
        <v>215</v>
      </c>
    </row>
    <row r="17" spans="1:6" ht="15.75" x14ac:dyDescent="0.25">
      <c r="A17" s="56" t="s">
        <v>216</v>
      </c>
      <c r="B17" s="41"/>
      <c r="C17" s="41"/>
      <c r="D17" s="41"/>
      <c r="E17" s="41"/>
      <c r="F17" s="41"/>
    </row>
    <row r="18" spans="1:6" x14ac:dyDescent="0.2">
      <c r="A18" s="57" t="s">
        <v>164</v>
      </c>
      <c r="B18" s="57" t="s">
        <v>165</v>
      </c>
      <c r="C18" s="57" t="s">
        <v>166</v>
      </c>
      <c r="D18" s="57" t="s">
        <v>167</v>
      </c>
      <c r="E18" s="57" t="s">
        <v>168</v>
      </c>
      <c r="F18" s="57" t="s">
        <v>169</v>
      </c>
    </row>
    <row r="19" spans="1:6" ht="28.5" x14ac:dyDescent="0.2">
      <c r="A19" s="27" t="s">
        <v>217</v>
      </c>
      <c r="B19" s="27" t="s">
        <v>218</v>
      </c>
      <c r="C19" s="27" t="s">
        <v>219</v>
      </c>
      <c r="D19" s="27" t="s">
        <v>220</v>
      </c>
      <c r="E19" s="27" t="s">
        <v>221</v>
      </c>
      <c r="F19" s="27" t="s">
        <v>222</v>
      </c>
    </row>
    <row r="20" spans="1:6" x14ac:dyDescent="0.2">
      <c r="A20" s="27" t="s">
        <v>223</v>
      </c>
      <c r="B20" s="27" t="s">
        <v>224</v>
      </c>
      <c r="C20" s="27" t="s">
        <v>225</v>
      </c>
      <c r="D20" s="27" t="s">
        <v>172</v>
      </c>
      <c r="E20" s="27" t="s">
        <v>221</v>
      </c>
      <c r="F20" s="27" t="s">
        <v>226</v>
      </c>
    </row>
    <row r="21" spans="1:6" x14ac:dyDescent="0.2">
      <c r="A21" s="27" t="s">
        <v>227</v>
      </c>
      <c r="B21" s="27" t="s">
        <v>228</v>
      </c>
      <c r="C21" s="27" t="s">
        <v>229</v>
      </c>
      <c r="D21" s="27" t="s">
        <v>230</v>
      </c>
      <c r="E21" s="27" t="s">
        <v>183</v>
      </c>
      <c r="F21" s="27" t="s">
        <v>231</v>
      </c>
    </row>
    <row r="22" spans="1:6" x14ac:dyDescent="0.2">
      <c r="A22" s="27" t="s">
        <v>232</v>
      </c>
      <c r="B22" s="27" t="s">
        <v>233</v>
      </c>
      <c r="C22" s="27" t="s">
        <v>234</v>
      </c>
      <c r="D22" s="27" t="s">
        <v>192</v>
      </c>
      <c r="E22" s="27" t="s">
        <v>183</v>
      </c>
      <c r="F22" s="27" t="s">
        <v>235</v>
      </c>
    </row>
    <row r="23" spans="1:6" x14ac:dyDescent="0.2">
      <c r="A23" s="27" t="s">
        <v>236</v>
      </c>
      <c r="B23" s="27" t="s">
        <v>237</v>
      </c>
      <c r="C23" s="27" t="s">
        <v>238</v>
      </c>
      <c r="D23" s="27" t="s">
        <v>206</v>
      </c>
      <c r="E23" s="27" t="s">
        <v>183</v>
      </c>
      <c r="F23" s="27" t="s">
        <v>239</v>
      </c>
    </row>
    <row r="24" spans="1:6" ht="28.5" customHeight="1" x14ac:dyDescent="0.2">
      <c r="A24" s="27" t="s">
        <v>240</v>
      </c>
      <c r="B24" s="27" t="s">
        <v>241</v>
      </c>
      <c r="C24" s="27" t="s">
        <v>242</v>
      </c>
      <c r="D24" s="27" t="s">
        <v>172</v>
      </c>
      <c r="E24" s="27" t="s">
        <v>173</v>
      </c>
      <c r="F24" s="27" t="s">
        <v>243</v>
      </c>
    </row>
    <row r="25" spans="1:6" x14ac:dyDescent="0.2">
      <c r="A25" s="27" t="s">
        <v>244</v>
      </c>
      <c r="B25" s="27" t="s">
        <v>245</v>
      </c>
      <c r="C25" s="27" t="s">
        <v>246</v>
      </c>
      <c r="D25" s="27" t="s">
        <v>247</v>
      </c>
      <c r="E25" s="27" t="s">
        <v>183</v>
      </c>
      <c r="F25" s="27" t="s">
        <v>248</v>
      </c>
    </row>
    <row r="27" spans="1:6" ht="15.75" x14ac:dyDescent="0.25">
      <c r="A27" s="56" t="s">
        <v>249</v>
      </c>
      <c r="B27" s="41"/>
      <c r="C27" s="41"/>
      <c r="D27" s="41"/>
      <c r="E27" s="41"/>
      <c r="F27" s="41"/>
    </row>
    <row r="28" spans="1:6" x14ac:dyDescent="0.2">
      <c r="A28" s="57" t="s">
        <v>164</v>
      </c>
      <c r="B28" s="57" t="s">
        <v>165</v>
      </c>
      <c r="C28" s="57" t="s">
        <v>166</v>
      </c>
      <c r="D28" s="57" t="s">
        <v>167</v>
      </c>
      <c r="E28" s="57" t="s">
        <v>168</v>
      </c>
      <c r="F28" s="57" t="s">
        <v>169</v>
      </c>
    </row>
    <row r="29" spans="1:6" x14ac:dyDescent="0.2">
      <c r="A29" s="27" t="s">
        <v>250</v>
      </c>
      <c r="B29" s="27" t="s">
        <v>251</v>
      </c>
      <c r="C29" s="27" t="s">
        <v>242</v>
      </c>
      <c r="D29" s="27" t="s">
        <v>172</v>
      </c>
      <c r="E29" s="27" t="s">
        <v>173</v>
      </c>
      <c r="F29" s="27" t="s">
        <v>252</v>
      </c>
    </row>
    <row r="30" spans="1:6" x14ac:dyDescent="0.2">
      <c r="A30" s="27" t="s">
        <v>253</v>
      </c>
      <c r="B30" s="27" t="s">
        <v>254</v>
      </c>
      <c r="C30" s="27" t="s">
        <v>255</v>
      </c>
      <c r="D30" s="27" t="s">
        <v>256</v>
      </c>
      <c r="E30" s="27" t="s">
        <v>183</v>
      </c>
      <c r="F30" s="27" t="s">
        <v>257</v>
      </c>
    </row>
    <row r="31" spans="1:6" x14ac:dyDescent="0.2">
      <c r="A31" s="27" t="s">
        <v>258</v>
      </c>
      <c r="B31" s="27" t="s">
        <v>259</v>
      </c>
      <c r="C31" s="27" t="s">
        <v>242</v>
      </c>
      <c r="D31" s="27" t="s">
        <v>172</v>
      </c>
      <c r="E31" s="27" t="s">
        <v>173</v>
      </c>
      <c r="F31" s="27" t="s">
        <v>260</v>
      </c>
    </row>
    <row r="32" spans="1:6" x14ac:dyDescent="0.2">
      <c r="A32" s="27" t="s">
        <v>261</v>
      </c>
      <c r="B32" s="27" t="s">
        <v>262</v>
      </c>
      <c r="C32" s="27" t="s">
        <v>263</v>
      </c>
      <c r="D32" s="27" t="s">
        <v>264</v>
      </c>
      <c r="E32" s="27" t="s">
        <v>221</v>
      </c>
      <c r="F32" s="27" t="s">
        <v>265</v>
      </c>
    </row>
    <row r="34" spans="1:6" ht="15.75" x14ac:dyDescent="0.25">
      <c r="A34" s="56" t="s">
        <v>266</v>
      </c>
      <c r="B34" s="41"/>
      <c r="C34" s="41"/>
      <c r="D34" s="41"/>
      <c r="E34" s="41"/>
      <c r="F34" s="41"/>
    </row>
    <row r="35" spans="1:6" x14ac:dyDescent="0.2">
      <c r="A35" s="57" t="s">
        <v>164</v>
      </c>
      <c r="B35" s="57" t="s">
        <v>165</v>
      </c>
      <c r="C35" s="57" t="s">
        <v>166</v>
      </c>
      <c r="D35" s="57" t="s">
        <v>167</v>
      </c>
      <c r="E35" s="57" t="s">
        <v>168</v>
      </c>
      <c r="F35" s="57" t="s">
        <v>169</v>
      </c>
    </row>
    <row r="36" spans="1:6" x14ac:dyDescent="0.2">
      <c r="A36" s="27" t="s">
        <v>267</v>
      </c>
      <c r="B36" s="27" t="s">
        <v>268</v>
      </c>
      <c r="C36" s="27" t="s">
        <v>269</v>
      </c>
      <c r="D36" s="27" t="s">
        <v>247</v>
      </c>
      <c r="E36" s="27" t="s">
        <v>183</v>
      </c>
      <c r="F36" s="27" t="s">
        <v>270</v>
      </c>
    </row>
    <row r="37" spans="1:6" x14ac:dyDescent="0.2">
      <c r="A37" s="27" t="s">
        <v>271</v>
      </c>
      <c r="B37" s="27" t="s">
        <v>272</v>
      </c>
      <c r="C37" s="27" t="s">
        <v>273</v>
      </c>
      <c r="D37" s="27" t="s">
        <v>274</v>
      </c>
      <c r="E37" s="27" t="s">
        <v>221</v>
      </c>
      <c r="F37" s="27" t="s">
        <v>275</v>
      </c>
    </row>
    <row r="38" spans="1:6" x14ac:dyDescent="0.2">
      <c r="A38" s="27" t="s">
        <v>276</v>
      </c>
      <c r="B38" s="27" t="s">
        <v>277</v>
      </c>
      <c r="C38" s="27" t="s">
        <v>242</v>
      </c>
      <c r="D38" s="27" t="s">
        <v>172</v>
      </c>
      <c r="E38" s="27" t="s">
        <v>173</v>
      </c>
      <c r="F38" s="27" t="s">
        <v>278</v>
      </c>
    </row>
    <row r="39" spans="1:6" x14ac:dyDescent="0.2">
      <c r="A39" s="27" t="s">
        <v>279</v>
      </c>
      <c r="B39" s="27" t="s">
        <v>280</v>
      </c>
      <c r="C39" s="27" t="s">
        <v>281</v>
      </c>
      <c r="D39" s="27" t="s">
        <v>282</v>
      </c>
      <c r="E39" s="27" t="s">
        <v>221</v>
      </c>
      <c r="F39" s="27" t="s">
        <v>283</v>
      </c>
    </row>
  </sheetData>
  <mergeCells count="6">
    <mergeCell ref="A34:F34"/>
    <mergeCell ref="A1:F1"/>
    <mergeCell ref="A2:F2"/>
    <mergeCell ref="A4:F4"/>
    <mergeCell ref="A17:F17"/>
    <mergeCell ref="A27:F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A484-8EB8-48F8-8CDF-636C243995E6}">
  <dimension ref="A1:D12"/>
  <sheetViews>
    <sheetView zoomScaleNormal="100" workbookViewId="0">
      <pane ySplit="4" topLeftCell="A5" activePane="bottomLeft" state="frozen"/>
      <selection pane="bottomLeft" activeCell="B15" sqref="B15"/>
    </sheetView>
  </sheetViews>
  <sheetFormatPr defaultRowHeight="15" x14ac:dyDescent="0.25"/>
  <cols>
    <col min="1" max="1" width="27" bestFit="1" customWidth="1"/>
    <col min="2" max="2" width="68.85546875" bestFit="1" customWidth="1"/>
    <col min="3" max="3" width="19.5703125" bestFit="1" customWidth="1"/>
    <col min="4" max="4" width="59.7109375" bestFit="1" customWidth="1"/>
  </cols>
  <sheetData>
    <row r="1" spans="1:4" x14ac:dyDescent="0.25">
      <c r="A1" s="58" t="s">
        <v>161</v>
      </c>
      <c r="B1" s="59"/>
      <c r="C1" s="59"/>
      <c r="D1" s="59"/>
    </row>
    <row r="2" spans="1:4" x14ac:dyDescent="0.25">
      <c r="A2" s="60" t="s">
        <v>284</v>
      </c>
      <c r="B2" s="59"/>
      <c r="C2" s="59"/>
      <c r="D2" s="59"/>
    </row>
    <row r="3" spans="1:4" x14ac:dyDescent="0.25">
      <c r="A3" s="5"/>
      <c r="B3" s="5"/>
      <c r="C3" s="5"/>
      <c r="D3" s="5"/>
    </row>
    <row r="4" spans="1:4" x14ac:dyDescent="0.25">
      <c r="A4" s="31" t="s">
        <v>285</v>
      </c>
      <c r="B4" s="31" t="s">
        <v>286</v>
      </c>
      <c r="C4" s="31" t="s">
        <v>287</v>
      </c>
      <c r="D4" s="31" t="s">
        <v>288</v>
      </c>
    </row>
    <row r="5" spans="1:4" ht="42.75" x14ac:dyDescent="0.25">
      <c r="A5" s="27" t="s">
        <v>289</v>
      </c>
      <c r="B5" s="27" t="s">
        <v>290</v>
      </c>
      <c r="C5" s="28">
        <v>4500000</v>
      </c>
      <c r="D5" s="27" t="s">
        <v>291</v>
      </c>
    </row>
    <row r="6" spans="1:4" ht="28.5" x14ac:dyDescent="0.25">
      <c r="A6" s="27" t="s">
        <v>292</v>
      </c>
      <c r="B6" s="27" t="s">
        <v>293</v>
      </c>
      <c r="C6" s="28">
        <v>600000</v>
      </c>
      <c r="D6" s="27" t="s">
        <v>294</v>
      </c>
    </row>
    <row r="7" spans="1:4" x14ac:dyDescent="0.25">
      <c r="A7" s="27" t="s">
        <v>295</v>
      </c>
      <c r="B7" s="27" t="s">
        <v>296</v>
      </c>
      <c r="C7" s="28">
        <v>1500000</v>
      </c>
      <c r="D7" s="27" t="s">
        <v>297</v>
      </c>
    </row>
    <row r="8" spans="1:4" x14ac:dyDescent="0.25">
      <c r="A8" s="27" t="s">
        <v>298</v>
      </c>
      <c r="B8" s="27" t="s">
        <v>299</v>
      </c>
      <c r="C8" s="28">
        <v>900000</v>
      </c>
      <c r="D8" s="27" t="s">
        <v>300</v>
      </c>
    </row>
    <row r="9" spans="1:4" x14ac:dyDescent="0.25">
      <c r="A9" s="27" t="s">
        <v>301</v>
      </c>
      <c r="B9" s="27" t="s">
        <v>302</v>
      </c>
      <c r="C9" s="28">
        <v>400000</v>
      </c>
      <c r="D9" s="27" t="s">
        <v>303</v>
      </c>
    </row>
    <row r="10" spans="1:4" x14ac:dyDescent="0.25">
      <c r="A10" s="29" t="s">
        <v>304</v>
      </c>
      <c r="B10" s="29"/>
      <c r="C10" s="30">
        <f>SUM(C5:C9)</f>
        <v>7900000</v>
      </c>
      <c r="D10" s="29"/>
    </row>
    <row r="11" spans="1:4" x14ac:dyDescent="0.25">
      <c r="A11" s="29" t="s">
        <v>305</v>
      </c>
      <c r="B11" s="77" t="s">
        <v>306</v>
      </c>
      <c r="C11" s="30">
        <f>C10*10%</f>
        <v>790000</v>
      </c>
      <c r="D11" s="77" t="s">
        <v>307</v>
      </c>
    </row>
    <row r="12" spans="1:4" x14ac:dyDescent="0.25">
      <c r="A12" s="29" t="s">
        <v>308</v>
      </c>
      <c r="B12" s="29"/>
      <c r="C12" s="30">
        <f>C10+C11</f>
        <v>8690000</v>
      </c>
      <c r="D12" s="29"/>
    </row>
  </sheetData>
  <mergeCells count="2">
    <mergeCell ref="A1:D1"/>
    <mergeCell ref="A2:D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5315-B8B8-42B0-B6F4-697F69D4CAB4}">
  <dimension ref="A1:H78"/>
  <sheetViews>
    <sheetView showGridLines="0" zoomScale="106" zoomScaleNormal="106" workbookViewId="0">
      <pane ySplit="9" topLeftCell="A10" activePane="bottomLeft" state="frozen"/>
      <selection pane="bottomLeft" activeCell="B6" sqref="B6"/>
    </sheetView>
  </sheetViews>
  <sheetFormatPr defaultRowHeight="14.25" x14ac:dyDescent="0.2"/>
  <cols>
    <col min="1" max="1" width="47.42578125" style="5" bestFit="1" customWidth="1"/>
    <col min="2" max="2" width="38.7109375" style="5" bestFit="1" customWidth="1"/>
    <col min="3" max="3" width="21.28515625" style="5" bestFit="1" customWidth="1"/>
    <col min="4" max="4" width="22.140625" style="5" bestFit="1" customWidth="1"/>
    <col min="5" max="16384" width="9.140625" style="5"/>
  </cols>
  <sheetData>
    <row r="1" spans="1:8" ht="18.75" x14ac:dyDescent="0.2">
      <c r="A1" s="61" t="s">
        <v>161</v>
      </c>
      <c r="B1" s="39"/>
      <c r="C1" s="39"/>
      <c r="D1" s="39"/>
      <c r="E1" s="39"/>
      <c r="F1" s="39"/>
      <c r="G1" s="39"/>
      <c r="H1" s="39"/>
    </row>
    <row r="2" spans="1:8" ht="15.75" x14ac:dyDescent="0.2">
      <c r="A2" s="62" t="s">
        <v>309</v>
      </c>
      <c r="B2" s="39"/>
      <c r="C2" s="39"/>
      <c r="D2" s="39"/>
      <c r="E2" s="39"/>
      <c r="F2" s="39"/>
      <c r="G2" s="39"/>
      <c r="H2" s="39"/>
    </row>
    <row r="3" spans="1:8" x14ac:dyDescent="0.2">
      <c r="A3" s="63" t="s">
        <v>310</v>
      </c>
      <c r="B3" s="63"/>
      <c r="C3" s="63"/>
      <c r="D3" s="63"/>
      <c r="E3" s="63"/>
      <c r="F3" s="63"/>
      <c r="G3" s="63"/>
      <c r="H3" s="63"/>
    </row>
    <row r="5" spans="1:8" x14ac:dyDescent="0.2">
      <c r="A5" s="46" t="s">
        <v>311</v>
      </c>
    </row>
    <row r="6" spans="1:8" x14ac:dyDescent="0.2">
      <c r="A6" s="47" t="s">
        <v>312</v>
      </c>
    </row>
    <row r="7" spans="1:8" x14ac:dyDescent="0.2">
      <c r="A7" s="48" t="s">
        <v>313</v>
      </c>
    </row>
    <row r="8" spans="1:8" x14ac:dyDescent="0.2">
      <c r="A8" s="49" t="s">
        <v>314</v>
      </c>
    </row>
    <row r="35" spans="1:4" ht="15.75" x14ac:dyDescent="0.25">
      <c r="A35" s="64" t="s">
        <v>315</v>
      </c>
      <c r="B35" s="65"/>
      <c r="C35" s="65"/>
      <c r="D35" s="65"/>
    </row>
    <row r="36" spans="1:4" x14ac:dyDescent="0.2">
      <c r="A36" s="73" t="s">
        <v>0</v>
      </c>
      <c r="B36" s="73" t="s">
        <v>2</v>
      </c>
      <c r="C36" s="73" t="s">
        <v>316</v>
      </c>
      <c r="D36" s="73" t="s">
        <v>3</v>
      </c>
    </row>
    <row r="37" spans="1:4" x14ac:dyDescent="0.2">
      <c r="A37" s="66" t="s">
        <v>9</v>
      </c>
      <c r="B37" s="66" t="s">
        <v>85</v>
      </c>
      <c r="C37" s="66" t="s">
        <v>92</v>
      </c>
      <c r="D37" s="66">
        <v>2</v>
      </c>
    </row>
    <row r="38" spans="1:4" x14ac:dyDescent="0.2">
      <c r="A38" s="66" t="s">
        <v>10</v>
      </c>
      <c r="B38" s="66" t="s">
        <v>88</v>
      </c>
      <c r="C38" s="66" t="s">
        <v>9</v>
      </c>
      <c r="D38" s="66">
        <v>2</v>
      </c>
    </row>
    <row r="39" spans="1:4" x14ac:dyDescent="0.2">
      <c r="A39" s="66" t="s">
        <v>11</v>
      </c>
      <c r="B39" s="66" t="s">
        <v>89</v>
      </c>
      <c r="C39" s="66" t="s">
        <v>10</v>
      </c>
      <c r="D39" s="66">
        <v>1</v>
      </c>
    </row>
    <row r="40" spans="1:4" x14ac:dyDescent="0.2">
      <c r="A40" s="66" t="s">
        <v>12</v>
      </c>
      <c r="B40" s="66" t="s">
        <v>93</v>
      </c>
      <c r="C40" s="66" t="s">
        <v>11</v>
      </c>
      <c r="D40" s="66">
        <v>3</v>
      </c>
    </row>
    <row r="41" spans="1:4" x14ac:dyDescent="0.2">
      <c r="A41" s="66" t="s">
        <v>13</v>
      </c>
      <c r="B41" s="66" t="s">
        <v>94</v>
      </c>
      <c r="C41" s="66" t="s">
        <v>11</v>
      </c>
      <c r="D41" s="66">
        <v>2</v>
      </c>
    </row>
    <row r="42" spans="1:4" x14ac:dyDescent="0.2">
      <c r="A42" s="66" t="s">
        <v>14</v>
      </c>
      <c r="B42" s="66" t="s">
        <v>95</v>
      </c>
      <c r="C42" s="66" t="s">
        <v>11</v>
      </c>
      <c r="D42" s="66">
        <v>2</v>
      </c>
    </row>
    <row r="43" spans="1:4" x14ac:dyDescent="0.2">
      <c r="A43" s="66" t="s">
        <v>15</v>
      </c>
      <c r="B43" s="66" t="s">
        <v>96</v>
      </c>
      <c r="C43" s="66" t="s">
        <v>97</v>
      </c>
      <c r="D43" s="66">
        <v>2</v>
      </c>
    </row>
    <row r="44" spans="1:4" x14ac:dyDescent="0.2">
      <c r="A44" s="66" t="s">
        <v>16</v>
      </c>
      <c r="B44" s="66" t="s">
        <v>98</v>
      </c>
      <c r="C44" s="66" t="s">
        <v>146</v>
      </c>
      <c r="D44" s="66">
        <v>5</v>
      </c>
    </row>
    <row r="45" spans="1:4" x14ac:dyDescent="0.2">
      <c r="A45" s="66" t="s">
        <v>17</v>
      </c>
      <c r="B45" s="66" t="s">
        <v>100</v>
      </c>
      <c r="C45" s="66" t="s">
        <v>16</v>
      </c>
      <c r="D45" s="66">
        <v>4</v>
      </c>
    </row>
    <row r="46" spans="1:4" x14ac:dyDescent="0.2">
      <c r="A46" s="66" t="s">
        <v>18</v>
      </c>
      <c r="B46" s="66" t="s">
        <v>102</v>
      </c>
      <c r="C46" s="66" t="s">
        <v>16</v>
      </c>
      <c r="D46" s="66">
        <v>3</v>
      </c>
    </row>
    <row r="47" spans="1:4" x14ac:dyDescent="0.2">
      <c r="A47" s="66" t="s">
        <v>19</v>
      </c>
      <c r="B47" s="66" t="s">
        <v>103</v>
      </c>
      <c r="C47" s="66" t="s">
        <v>104</v>
      </c>
      <c r="D47" s="66">
        <v>1</v>
      </c>
    </row>
    <row r="48" spans="1:4" x14ac:dyDescent="0.2">
      <c r="A48" s="66" t="s">
        <v>20</v>
      </c>
      <c r="B48" s="66" t="s">
        <v>105</v>
      </c>
      <c r="C48" s="66" t="s">
        <v>19</v>
      </c>
      <c r="D48" s="66">
        <v>5</v>
      </c>
    </row>
    <row r="49" spans="1:4" x14ac:dyDescent="0.2">
      <c r="A49" s="66" t="s">
        <v>21</v>
      </c>
      <c r="B49" s="66" t="s">
        <v>107</v>
      </c>
      <c r="C49" s="66" t="s">
        <v>19</v>
      </c>
      <c r="D49" s="66">
        <v>4</v>
      </c>
    </row>
    <row r="50" spans="1:4" x14ac:dyDescent="0.2">
      <c r="A50" s="66" t="s">
        <v>22</v>
      </c>
      <c r="B50" s="66" t="s">
        <v>135</v>
      </c>
      <c r="C50" s="66" t="s">
        <v>110</v>
      </c>
      <c r="D50" s="66">
        <v>2</v>
      </c>
    </row>
    <row r="51" spans="1:4" x14ac:dyDescent="0.2">
      <c r="A51" s="66" t="s">
        <v>23</v>
      </c>
      <c r="B51" s="66" t="s">
        <v>109</v>
      </c>
      <c r="C51" s="66" t="s">
        <v>22</v>
      </c>
      <c r="D51" s="66">
        <v>1</v>
      </c>
    </row>
    <row r="52" spans="1:4" x14ac:dyDescent="0.2">
      <c r="A52" s="66" t="s">
        <v>24</v>
      </c>
      <c r="B52" s="66" t="s">
        <v>111</v>
      </c>
      <c r="C52" s="66" t="s">
        <v>148</v>
      </c>
      <c r="D52" s="66">
        <v>4</v>
      </c>
    </row>
    <row r="53" spans="1:4" x14ac:dyDescent="0.2">
      <c r="A53" s="66" t="s">
        <v>25</v>
      </c>
      <c r="B53" s="66" t="s">
        <v>112</v>
      </c>
      <c r="C53" s="66" t="s">
        <v>24</v>
      </c>
      <c r="D53" s="66">
        <v>4</v>
      </c>
    </row>
    <row r="54" spans="1:4" x14ac:dyDescent="0.2">
      <c r="A54" s="66" t="s">
        <v>26</v>
      </c>
      <c r="B54" s="66" t="s">
        <v>113</v>
      </c>
      <c r="C54" s="66" t="s">
        <v>147</v>
      </c>
      <c r="D54" s="66">
        <v>8</v>
      </c>
    </row>
    <row r="55" spans="1:4" x14ac:dyDescent="0.2">
      <c r="A55" s="66" t="s">
        <v>27</v>
      </c>
      <c r="B55" s="66" t="s">
        <v>114</v>
      </c>
      <c r="C55" s="66" t="s">
        <v>26</v>
      </c>
      <c r="D55" s="66">
        <v>4</v>
      </c>
    </row>
    <row r="56" spans="1:4" x14ac:dyDescent="0.2">
      <c r="A56" s="66" t="s">
        <v>28</v>
      </c>
      <c r="B56" s="66" t="s">
        <v>115</v>
      </c>
      <c r="C56" s="66" t="s">
        <v>26</v>
      </c>
      <c r="D56" s="66">
        <v>5</v>
      </c>
    </row>
    <row r="57" spans="1:4" x14ac:dyDescent="0.2">
      <c r="A57" s="66" t="s">
        <v>29</v>
      </c>
      <c r="B57" s="66" t="s">
        <v>117</v>
      </c>
      <c r="C57" s="66" t="s">
        <v>149</v>
      </c>
      <c r="D57" s="66">
        <v>5</v>
      </c>
    </row>
    <row r="58" spans="1:4" x14ac:dyDescent="0.2">
      <c r="A58" s="66" t="s">
        <v>30</v>
      </c>
      <c r="B58" s="66" t="s">
        <v>118</v>
      </c>
      <c r="C58" s="66" t="s">
        <v>29</v>
      </c>
      <c r="D58" s="66">
        <v>3</v>
      </c>
    </row>
    <row r="59" spans="1:4" x14ac:dyDescent="0.2">
      <c r="A59" s="66" t="s">
        <v>31</v>
      </c>
      <c r="B59" s="66" t="s">
        <v>120</v>
      </c>
      <c r="C59" s="66" t="s">
        <v>30</v>
      </c>
      <c r="D59" s="66">
        <v>4</v>
      </c>
    </row>
    <row r="60" spans="1:4" x14ac:dyDescent="0.2">
      <c r="A60" s="66" t="s">
        <v>32</v>
      </c>
      <c r="B60" s="66" t="s">
        <v>121</v>
      </c>
      <c r="C60" s="66" t="s">
        <v>31</v>
      </c>
      <c r="D60" s="66">
        <v>3</v>
      </c>
    </row>
    <row r="61" spans="1:4" x14ac:dyDescent="0.2">
      <c r="A61" s="66" t="s">
        <v>33</v>
      </c>
      <c r="B61" s="66" t="s">
        <v>123</v>
      </c>
      <c r="C61" s="66" t="s">
        <v>31</v>
      </c>
      <c r="D61" s="66">
        <v>3</v>
      </c>
    </row>
    <row r="62" spans="1:4" x14ac:dyDescent="0.2">
      <c r="A62" s="66" t="s">
        <v>34</v>
      </c>
      <c r="B62" s="66" t="s">
        <v>124</v>
      </c>
      <c r="C62" s="66" t="s">
        <v>150</v>
      </c>
      <c r="D62" s="66">
        <v>1</v>
      </c>
    </row>
    <row r="63" spans="1:4" x14ac:dyDescent="0.2">
      <c r="A63" s="66" t="s">
        <v>35</v>
      </c>
      <c r="B63" s="66" t="s">
        <v>125</v>
      </c>
      <c r="C63" s="66" t="s">
        <v>34</v>
      </c>
      <c r="D63" s="66">
        <v>2</v>
      </c>
    </row>
    <row r="64" spans="1:4" x14ac:dyDescent="0.2">
      <c r="A64" s="66" t="s">
        <v>36</v>
      </c>
      <c r="B64" s="66" t="s">
        <v>126</v>
      </c>
      <c r="C64" s="66" t="s">
        <v>35</v>
      </c>
      <c r="D64" s="66">
        <v>2</v>
      </c>
    </row>
    <row r="65" spans="1:8" x14ac:dyDescent="0.2">
      <c r="A65" s="66" t="s">
        <v>37</v>
      </c>
      <c r="B65" s="66" t="s">
        <v>130</v>
      </c>
      <c r="C65" s="66" t="s">
        <v>36</v>
      </c>
      <c r="D65" s="66">
        <v>2</v>
      </c>
    </row>
    <row r="66" spans="1:8" x14ac:dyDescent="0.2">
      <c r="A66" s="66" t="s">
        <v>38</v>
      </c>
      <c r="B66" s="66" t="s">
        <v>127</v>
      </c>
      <c r="C66" s="66" t="s">
        <v>34</v>
      </c>
      <c r="D66" s="66">
        <v>3</v>
      </c>
    </row>
    <row r="67" spans="1:8" x14ac:dyDescent="0.2">
      <c r="A67" s="66" t="s">
        <v>70</v>
      </c>
      <c r="B67" s="66" t="s">
        <v>129</v>
      </c>
      <c r="C67" s="66" t="s">
        <v>151</v>
      </c>
      <c r="D67" s="66">
        <v>1</v>
      </c>
    </row>
    <row r="68" spans="1:8" x14ac:dyDescent="0.2">
      <c r="A68" s="66" t="s">
        <v>71</v>
      </c>
      <c r="B68" s="66" t="s">
        <v>131</v>
      </c>
      <c r="C68" s="66" t="s">
        <v>70</v>
      </c>
      <c r="D68" s="66">
        <v>1</v>
      </c>
    </row>
    <row r="69" spans="1:8" x14ac:dyDescent="0.2">
      <c r="A69" s="66" t="s">
        <v>72</v>
      </c>
      <c r="B69" s="66" t="s">
        <v>317</v>
      </c>
      <c r="C69" s="66" t="s">
        <v>71</v>
      </c>
      <c r="D69" s="66">
        <v>2</v>
      </c>
    </row>
    <row r="70" spans="1:8" x14ac:dyDescent="0.2">
      <c r="A70" s="66" t="s">
        <v>73</v>
      </c>
      <c r="B70" s="66" t="s">
        <v>145</v>
      </c>
      <c r="C70" s="66" t="s">
        <v>72</v>
      </c>
      <c r="D70" s="66">
        <v>2</v>
      </c>
    </row>
    <row r="71" spans="1:8" x14ac:dyDescent="0.2">
      <c r="A71" s="66" t="s">
        <v>136</v>
      </c>
      <c r="B71" s="66" t="s">
        <v>132</v>
      </c>
      <c r="C71" s="66" t="s">
        <v>73</v>
      </c>
      <c r="D71" s="66">
        <v>1</v>
      </c>
    </row>
    <row r="74" spans="1:8" x14ac:dyDescent="0.2">
      <c r="A74" s="46" t="s">
        <v>318</v>
      </c>
    </row>
    <row r="75" spans="1:8" ht="15" customHeight="1" x14ac:dyDescent="0.2">
      <c r="A75" s="50" t="s">
        <v>319</v>
      </c>
      <c r="B75" s="50"/>
      <c r="C75" s="50"/>
      <c r="D75" s="50"/>
      <c r="E75" s="50"/>
      <c r="F75" s="50"/>
      <c r="G75" s="50"/>
      <c r="H75" s="50"/>
    </row>
    <row r="76" spans="1:8" x14ac:dyDescent="0.2">
      <c r="A76" s="50"/>
      <c r="B76" s="50"/>
      <c r="C76" s="50"/>
      <c r="D76" s="50"/>
      <c r="E76" s="50"/>
      <c r="F76" s="50"/>
      <c r="G76" s="50"/>
      <c r="H76" s="50"/>
    </row>
    <row r="77" spans="1:8" x14ac:dyDescent="0.2">
      <c r="A77" s="50"/>
      <c r="B77" s="50"/>
      <c r="C77" s="50"/>
      <c r="D77" s="50"/>
      <c r="E77" s="50"/>
      <c r="F77" s="50"/>
      <c r="G77" s="50"/>
      <c r="H77" s="50"/>
    </row>
    <row r="78" spans="1:8" x14ac:dyDescent="0.2">
      <c r="A78" s="51"/>
      <c r="B78" s="51"/>
      <c r="C78" s="51"/>
      <c r="D78" s="51"/>
      <c r="E78" s="51"/>
      <c r="F78" s="51"/>
      <c r="G78" s="51"/>
      <c r="H78" s="51"/>
    </row>
  </sheetData>
  <mergeCells count="4">
    <mergeCell ref="A1:H1"/>
    <mergeCell ref="A2:H2"/>
    <mergeCell ref="A3:H3"/>
    <mergeCell ref="A75:H7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6747-76D0-4EDD-93FB-9D6FFCA88964}">
  <dimension ref="A1:G15"/>
  <sheetViews>
    <sheetView tabSelected="1" zoomScaleNormal="100" workbookViewId="0">
      <pane ySplit="2" topLeftCell="A3" activePane="bottomLeft" state="frozen"/>
      <selection pane="bottomLeft" activeCell="D23" sqref="D23"/>
    </sheetView>
  </sheetViews>
  <sheetFormatPr defaultRowHeight="14.25" x14ac:dyDescent="0.2"/>
  <cols>
    <col min="1" max="1" width="13" style="5" bestFit="1" customWidth="1"/>
    <col min="2" max="2" width="57.85546875" style="5" bestFit="1" customWidth="1"/>
    <col min="3" max="3" width="20.7109375" style="5" customWidth="1"/>
    <col min="4" max="4" width="26.85546875" style="5" bestFit="1" customWidth="1"/>
    <col min="5" max="5" width="37" style="5" bestFit="1" customWidth="1"/>
    <col min="6" max="6" width="70" style="5" bestFit="1" customWidth="1"/>
    <col min="7" max="7" width="71.28515625" style="5" bestFit="1" customWidth="1"/>
    <col min="8" max="16384" width="9.140625" style="5"/>
  </cols>
  <sheetData>
    <row r="1" spans="1:7" ht="20.25" x14ac:dyDescent="0.2">
      <c r="A1" s="38" t="s">
        <v>320</v>
      </c>
      <c r="B1" s="41"/>
      <c r="C1" s="41"/>
      <c r="D1" s="41"/>
      <c r="E1" s="41"/>
      <c r="F1" s="41"/>
      <c r="G1" s="41"/>
    </row>
    <row r="2" spans="1:7" ht="15.75" x14ac:dyDescent="0.2">
      <c r="A2" s="62" t="s">
        <v>161</v>
      </c>
      <c r="B2" s="39"/>
      <c r="C2" s="39"/>
      <c r="D2" s="39"/>
      <c r="E2" s="39"/>
      <c r="F2" s="39"/>
      <c r="G2" s="39"/>
    </row>
    <row r="4" spans="1:7" s="42" customFormat="1" x14ac:dyDescent="0.2">
      <c r="A4" s="74" t="s">
        <v>321</v>
      </c>
      <c r="B4" s="74" t="s">
        <v>322</v>
      </c>
      <c r="C4" s="74" t="s">
        <v>323</v>
      </c>
      <c r="D4" s="74" t="s">
        <v>324</v>
      </c>
      <c r="E4" s="74" t="s">
        <v>325</v>
      </c>
      <c r="F4" s="74" t="s">
        <v>326</v>
      </c>
      <c r="G4" s="74" t="s">
        <v>327</v>
      </c>
    </row>
    <row r="5" spans="1:7" x14ac:dyDescent="0.2">
      <c r="A5" s="67" t="s">
        <v>328</v>
      </c>
      <c r="B5" s="67" t="s">
        <v>329</v>
      </c>
      <c r="C5" s="68" t="s">
        <v>330</v>
      </c>
      <c r="D5" s="69" t="s">
        <v>331</v>
      </c>
      <c r="E5" s="67" t="s">
        <v>332</v>
      </c>
      <c r="F5" s="67" t="s">
        <v>333</v>
      </c>
      <c r="G5" s="67" t="s">
        <v>334</v>
      </c>
    </row>
    <row r="6" spans="1:7" x14ac:dyDescent="0.2">
      <c r="A6" s="67" t="s">
        <v>335</v>
      </c>
      <c r="B6" s="67" t="s">
        <v>336</v>
      </c>
      <c r="C6" s="68" t="s">
        <v>330</v>
      </c>
      <c r="D6" s="69" t="s">
        <v>331</v>
      </c>
      <c r="E6" s="67" t="s">
        <v>337</v>
      </c>
      <c r="F6" s="67" t="s">
        <v>338</v>
      </c>
      <c r="G6" s="67" t="s">
        <v>339</v>
      </c>
    </row>
    <row r="7" spans="1:7" s="43" customFormat="1" x14ac:dyDescent="0.25">
      <c r="A7" s="67" t="s">
        <v>340</v>
      </c>
      <c r="B7" s="67" t="s">
        <v>341</v>
      </c>
      <c r="C7" s="68" t="s">
        <v>330</v>
      </c>
      <c r="D7" s="69" t="s">
        <v>331</v>
      </c>
      <c r="E7" s="67" t="s">
        <v>342</v>
      </c>
      <c r="F7" s="67" t="s">
        <v>343</v>
      </c>
      <c r="G7" s="67" t="s">
        <v>344</v>
      </c>
    </row>
    <row r="8" spans="1:7" x14ac:dyDescent="0.2">
      <c r="A8" s="67" t="s">
        <v>345</v>
      </c>
      <c r="B8" s="67" t="s">
        <v>346</v>
      </c>
      <c r="C8" s="68" t="s">
        <v>330</v>
      </c>
      <c r="D8" s="69" t="s">
        <v>331</v>
      </c>
      <c r="E8" s="67" t="s">
        <v>347</v>
      </c>
      <c r="F8" s="67" t="s">
        <v>348</v>
      </c>
      <c r="G8" s="67" t="s">
        <v>349</v>
      </c>
    </row>
    <row r="9" spans="1:7" x14ac:dyDescent="0.2">
      <c r="A9" s="67" t="s">
        <v>350</v>
      </c>
      <c r="B9" s="67" t="s">
        <v>351</v>
      </c>
      <c r="C9" s="68" t="s">
        <v>330</v>
      </c>
      <c r="D9" s="69" t="s">
        <v>331</v>
      </c>
      <c r="E9" s="67" t="s">
        <v>352</v>
      </c>
      <c r="F9" s="67" t="s">
        <v>353</v>
      </c>
      <c r="G9" s="67" t="s">
        <v>354</v>
      </c>
    </row>
    <row r="10" spans="1:7" x14ac:dyDescent="0.2">
      <c r="A10" s="67" t="s">
        <v>355</v>
      </c>
      <c r="B10" s="67" t="s">
        <v>356</v>
      </c>
      <c r="C10" s="68" t="s">
        <v>330</v>
      </c>
      <c r="D10" s="69" t="s">
        <v>331</v>
      </c>
      <c r="E10" s="67" t="s">
        <v>357</v>
      </c>
      <c r="F10" s="67" t="s">
        <v>358</v>
      </c>
      <c r="G10" s="67" t="s">
        <v>359</v>
      </c>
    </row>
    <row r="11" spans="1:7" x14ac:dyDescent="0.2">
      <c r="A11" s="67" t="s">
        <v>360</v>
      </c>
      <c r="B11" s="67" t="s">
        <v>361</v>
      </c>
      <c r="C11" s="68" t="s">
        <v>330</v>
      </c>
      <c r="D11" s="67" t="s">
        <v>330</v>
      </c>
      <c r="E11" s="67" t="s">
        <v>362</v>
      </c>
      <c r="F11" s="67" t="s">
        <v>363</v>
      </c>
      <c r="G11" s="67" t="s">
        <v>364</v>
      </c>
    </row>
    <row r="12" spans="1:7" x14ac:dyDescent="0.2">
      <c r="A12" s="70" t="s">
        <v>365</v>
      </c>
      <c r="B12" s="70" t="s">
        <v>366</v>
      </c>
      <c r="C12" s="71" t="s">
        <v>330</v>
      </c>
      <c r="D12" s="72" t="s">
        <v>331</v>
      </c>
      <c r="E12" s="70" t="s">
        <v>367</v>
      </c>
      <c r="F12" s="70" t="s">
        <v>368</v>
      </c>
      <c r="G12" s="70" t="s">
        <v>369</v>
      </c>
    </row>
    <row r="15" spans="1:7" ht="24.75" customHeight="1" x14ac:dyDescent="0.2">
      <c r="A15" s="44" t="s">
        <v>370</v>
      </c>
      <c r="B15" s="45"/>
      <c r="C15" s="45"/>
      <c r="D15" s="45"/>
      <c r="E15" s="45"/>
      <c r="F15" s="45"/>
      <c r="G15" s="45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Schedule </vt:lpstr>
      <vt:lpstr>Gantt Chart</vt:lpstr>
      <vt:lpstr>Critical Path Analysis</vt:lpstr>
      <vt:lpstr>Resource Allocation</vt:lpstr>
      <vt:lpstr>Project Budget</vt:lpstr>
      <vt:lpstr>Network Diagram</vt:lpstr>
      <vt:lpstr>Schedule Risk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2026-08-14T16:25:57Z</dcterms:created>
  <dcterms:modified xsi:type="dcterms:W3CDTF">2026-08-22T20:40:52Z</dcterms:modified>
</cp:coreProperties>
</file>