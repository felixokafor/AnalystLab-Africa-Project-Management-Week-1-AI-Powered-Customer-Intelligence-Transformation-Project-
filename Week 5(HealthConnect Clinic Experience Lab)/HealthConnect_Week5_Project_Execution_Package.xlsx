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actice\Internship\AnalystLab Africa internship (Project Management)\Week 5(HealthConnect Clinic Experience Lab)\"/>
    </mc:Choice>
  </mc:AlternateContent>
  <xr:revisionPtr revIDLastSave="0" documentId="13_ncr:1_{A9A10CD1-94B0-4D65-BC76-ABDEC4247F79}" xr6:coauthVersionLast="47" xr6:coauthVersionMax="47" xr10:uidLastSave="{00000000-0000-0000-0000-000000000000}"/>
  <bookViews>
    <workbookView xWindow="-120" yWindow="-120" windowWidth="20730" windowHeight="11760" xr2:uid="{FA0285C2-60B4-4C13-A5C4-9069F91FA269}"/>
  </bookViews>
  <sheets>
    <sheet name="Project Dashboard" sheetId="1" r:id="rId1"/>
    <sheet name="Task Tracker" sheetId="2" r:id="rId2"/>
    <sheet name="Updated Project Plan" sheetId="3" r:id="rId3"/>
    <sheet name="Timeline" sheetId="4" r:id="rId4"/>
    <sheet name="Risk Register" sheetId="5" r:id="rId5"/>
    <sheet name="Dependency Register" sheetId="6" r:id="rId6"/>
    <sheet name="Issues Log" sheetId="7" r:id="rId7"/>
    <sheet name="Decision Log" sheetId="8" r:id="rId8"/>
    <sheet name="Track Coordination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</calcChain>
</file>

<file path=xl/sharedStrings.xml><?xml version="1.0" encoding="utf-8"?>
<sst xmlns="http://schemas.openxmlformats.org/spreadsheetml/2006/main" count="977" uniqueCount="427">
  <si>
    <t>Coordination ID</t>
  </si>
  <si>
    <t>Coordination Point</t>
  </si>
  <si>
    <t>Purpose</t>
  </si>
  <si>
    <t>Expected Information Flow</t>
  </si>
  <si>
    <t>Evidence Status</t>
  </si>
  <si>
    <t>Responsible</t>
  </si>
  <si>
    <t>Priority</t>
  </si>
  <si>
    <t>CO-01</t>
  </si>
  <si>
    <t>PM ↔ Data Analytics</t>
  </si>
  <si>
    <t>Monitor analysis milestones and capture data-quality findings, KPIs and insights</t>
  </si>
  <si>
    <t>Dataset/Data Dictionary → findings → PM tracking</t>
  </si>
  <si>
    <t>Planned mechanism; no direct interaction claimed</t>
  </si>
  <si>
    <t>PM + Data Analytics</t>
  </si>
  <si>
    <t>High</t>
  </si>
  <si>
    <t>CO-02</t>
  </si>
  <si>
    <t>PM ↔ Data Science</t>
  </si>
  <si>
    <t>Monitor modelling milestones and data dependencies</t>
  </si>
  <si>
    <t>Data readiness → model status/results → PM tracking</t>
  </si>
  <si>
    <t>PM + Data Science</t>
  </si>
  <si>
    <t>CO-03</t>
  </si>
  <si>
    <t>PM ↔ ML Engineering</t>
  </si>
  <si>
    <t>Monitor implementation prerequisites and blockers</t>
  </si>
  <si>
    <t>Requirements → implementation status/issues → PM tracking</t>
  </si>
  <si>
    <t>PM + ML Engineering</t>
  </si>
  <si>
    <t>CO-04</t>
  </si>
  <si>
    <t>PM ↔ Generative AI</t>
  </si>
  <si>
    <t>Monitor Knowledge Base dependency, prototype progress and safety testing</t>
  </si>
  <si>
    <t>Knowledge Base → prototype/test evidence → PM tracking</t>
  </si>
  <si>
    <t>PM + Generative AI</t>
  </si>
  <si>
    <t>CO-05</t>
  </si>
  <si>
    <t>Cross-workstream integration</t>
  </si>
  <si>
    <t>Track handoffs between analysis, modelling, implementation and testing</t>
  </si>
  <si>
    <t>Milestone outputs → dependent-workstream readiness → PM tracking</t>
  </si>
  <si>
    <t>PM + All Workstreams</t>
  </si>
  <si>
    <t>Decision ID</t>
  </si>
  <si>
    <t>Decision</t>
  </si>
  <si>
    <t>Reason</t>
  </si>
  <si>
    <t>Timing</t>
  </si>
  <si>
    <t>Decision Owner</t>
  </si>
  <si>
    <t>Status</t>
  </si>
  <si>
    <t>DEC-001</t>
  </si>
  <si>
    <t>Use responsible workstream rather than assigned individual</t>
  </si>
  <si>
    <t>Avoid implying direct assignment where no cross-track interaction occurred</t>
  </si>
  <si>
    <t>Week 5</t>
  </si>
  <si>
    <t>PM</t>
  </si>
  <si>
    <t>Approved</t>
  </si>
  <si>
    <t>DEC-002</t>
  </si>
  <si>
    <t>Use evidence-based status categories</t>
  </si>
  <si>
    <t>Prevent unsupported technical-track completion claims</t>
  </si>
  <si>
    <t>DEC-003</t>
  </si>
  <si>
    <t>Use one PM control workbook</t>
  </si>
  <si>
    <t>Improve consistency across execution controls</t>
  </si>
  <si>
    <t>DEC-004</t>
  </si>
  <si>
    <t>Use relative project weeks</t>
  </si>
  <si>
    <t>Official calendar dates were not provided</t>
  </si>
  <si>
    <t>Issue ID</t>
  </si>
  <si>
    <t>Category</t>
  </si>
  <si>
    <t>Issue</t>
  </si>
  <si>
    <t>Owner</t>
  </si>
  <si>
    <t>Impact</t>
  </si>
  <si>
    <t>Action / Response</t>
  </si>
  <si>
    <t>Identified</t>
  </si>
  <si>
    <t>ISS-001</t>
  </si>
  <si>
    <t>Execution governance</t>
  </si>
  <si>
    <t>No direct cross-track status updates are available in the individual online internship setting</t>
  </si>
  <si>
    <t>Medium</t>
  </si>
  <si>
    <t>Use evidence-based status labels; do not fabricate collaboration or completion</t>
  </si>
  <si>
    <t>Open</t>
  </si>
  <si>
    <t>ISS-002</t>
  </si>
  <si>
    <t>Schedule control</t>
  </si>
  <si>
    <t>Formal Week 4 Excel timeline was not previously finalised as a file</t>
  </si>
  <si>
    <t>Low</t>
  </si>
  <si>
    <t>Create and maintain the formal Week 5 timeline workbook</t>
  </si>
  <si>
    <t>ISS-003</t>
  </si>
  <si>
    <t>Artifact control</t>
  </si>
  <si>
    <t>Multiple supporting files could become inconsistent if updated independently</t>
  </si>
  <si>
    <t>Use this workbook as the PM control package and version outputs</t>
  </si>
  <si>
    <t>Dependency ID</t>
  </si>
  <si>
    <t>Dependency</t>
  </si>
  <si>
    <t>Dependent Activity</t>
  </si>
  <si>
    <t>Type</t>
  </si>
  <si>
    <t>Responsible Workstream</t>
  </si>
  <si>
    <t>Criticality</t>
  </si>
  <si>
    <t>Expected Condition</t>
  </si>
  <si>
    <t>D001</t>
  </si>
  <si>
    <t>HealthConnect appointment dataset</t>
  </si>
  <si>
    <t>Data analysis/model preparation</t>
  </si>
  <si>
    <t>Information</t>
  </si>
  <si>
    <t>Data Analytics / Data Science</t>
  </si>
  <si>
    <t>Dataset available and usable</t>
  </si>
  <si>
    <t>D002</t>
  </si>
  <si>
    <t>HealthConnect Data Dictionary</t>
  </si>
  <si>
    <t>Correct interpretation of variables</t>
  </si>
  <si>
    <t>Dictionary available</t>
  </si>
  <si>
    <t>D003</t>
  </si>
  <si>
    <t>HealthConnect Clinic Knowledge Base</t>
  </si>
  <si>
    <t>AI assistant design and safety boundaries</t>
  </si>
  <si>
    <t>Generative AI</t>
  </si>
  <si>
    <t>Approved knowledge source available</t>
  </si>
  <si>
    <t>D004</t>
  </si>
  <si>
    <t>Scope and requirements</t>
  </si>
  <si>
    <t>All workstreams</t>
  </si>
  <si>
    <t>Project</t>
  </si>
  <si>
    <t>All Workstreams</t>
  </si>
  <si>
    <t>Week 4 scope foundation</t>
  </si>
  <si>
    <t>D005</t>
  </si>
  <si>
    <t>Analysis / solution design</t>
  </si>
  <si>
    <t>Development</t>
  </si>
  <si>
    <t>Technical / Process</t>
  </si>
  <si>
    <t>Technical Workstreams</t>
  </si>
  <si>
    <t>Design outputs completed</t>
  </si>
  <si>
    <t>D006</t>
  </si>
  <si>
    <t>Track coordination</t>
  </si>
  <si>
    <t>Integrated solution</t>
  </si>
  <si>
    <t>Team / Governance</t>
  </si>
  <si>
    <t>PM + Technical Workstreams</t>
  </si>
  <si>
    <t>Coordination mechanism established</t>
  </si>
  <si>
    <t>D007</t>
  </si>
  <si>
    <t>Required tools/resources</t>
  </si>
  <si>
    <t>Development and documentation</t>
  </si>
  <si>
    <t>Technical</t>
  </si>
  <si>
    <t>Relevant Workstream</t>
  </si>
  <si>
    <t>Required tools available</t>
  </si>
  <si>
    <t>D008</t>
  </si>
  <si>
    <t>Development completion</t>
  </si>
  <si>
    <t>Testing and refinement</t>
  </si>
  <si>
    <t>Process</t>
  </si>
  <si>
    <t>Initial implementation available</t>
  </si>
  <si>
    <t>D009</t>
  </si>
  <si>
    <t>Workstream status evidence</t>
  </si>
  <si>
    <t>Accurate project reporting</t>
  </si>
  <si>
    <t>Governance</t>
  </si>
  <si>
    <t>Verified status evidence available</t>
  </si>
  <si>
    <t>Risk ID</t>
  </si>
  <si>
    <t>Risk Description</t>
  </si>
  <si>
    <t>Origin</t>
  </si>
  <si>
    <t>Likelihood</t>
  </si>
  <si>
    <t>Rating</t>
  </si>
  <si>
    <t>Mitigation / Response</t>
  </si>
  <si>
    <t>R001</t>
  </si>
  <si>
    <t>Data</t>
  </si>
  <si>
    <t>Appointment data may contain missing/incomplete records affecting analysis/modeling</t>
  </si>
  <si>
    <t>Week 4</t>
  </si>
  <si>
    <t>Review data quality and document missing fields</t>
  </si>
  <si>
    <t>R002</t>
  </si>
  <si>
    <t>Scope</t>
  </si>
  <si>
    <t>Scope may expand beyond agreed objectives</t>
  </si>
  <si>
    <t>Maintain scope boundaries and change control</t>
  </si>
  <si>
    <t>R003</t>
  </si>
  <si>
    <t>Schedule</t>
  </si>
  <si>
    <t>Dependent workstream delays may affect downstream activities</t>
  </si>
  <si>
    <t>Monitor milestones and dependencies</t>
  </si>
  <si>
    <t>R004</t>
  </si>
  <si>
    <t>Resource</t>
  </si>
  <si>
    <t>Limited availability or conflicting priorities may affect execution</t>
  </si>
  <si>
    <t>Use clear responsibilities and prioritisation</t>
  </si>
  <si>
    <t>R005</t>
  </si>
  <si>
    <t>Dependencies between workstreams may create bottlenecks</t>
  </si>
  <si>
    <t>Maintain dependency register and prerequisites</t>
  </si>
  <si>
    <t>R006</t>
  </si>
  <si>
    <t>AI/Safety</t>
  </si>
  <si>
    <t>AI assistant may provide information outside approved knowledge base</t>
  </si>
  <si>
    <t>Restrict to approved information and escalation rules</t>
  </si>
  <si>
    <t>R007</t>
  </si>
  <si>
    <t>Requirements</t>
  </si>
  <si>
    <t>Requirements may not be clearly understood</t>
  </si>
  <si>
    <t>Document and review requirements</t>
  </si>
  <si>
    <t>R008</t>
  </si>
  <si>
    <t>Communication</t>
  </si>
  <si>
    <t>Communication gaps may cause inconsistent understanding</t>
  </si>
  <si>
    <t>Use documented decisions and escalation</t>
  </si>
  <si>
    <t>R009</t>
  </si>
  <si>
    <t>Technical limitations may affect development or integration</t>
  </si>
  <si>
    <t>Identify prerequisites and alternatives</t>
  </si>
  <si>
    <t>R010</t>
  </si>
  <si>
    <t>Outputs may not complete within internship timeframe</t>
  </si>
  <si>
    <t>Prioritise critical deliverables</t>
  </si>
  <si>
    <t>R011</t>
  </si>
  <si>
    <t>Execution</t>
  </si>
  <si>
    <t>No direct cross-track status updates are available in the individual online setting</t>
  </si>
  <si>
    <t>Use evidence-based status labels; avoid unsupported claims</t>
  </si>
  <si>
    <t>R012</t>
  </si>
  <si>
    <t>Multiple artifact versions may create inconsistency</t>
  </si>
  <si>
    <t>Use version naming and controlled master files</t>
  </si>
  <si>
    <t>R013</t>
  </si>
  <si>
    <t>Ownership</t>
  </si>
  <si>
    <t>Responsible workstream may be unclear</t>
  </si>
  <si>
    <t>Maintain responsible-workstream mapping</t>
  </si>
  <si>
    <t>R014</t>
  </si>
  <si>
    <t>Assumptions</t>
  </si>
  <si>
    <t>Planning assumptions may be mistaken for confirmed facts</t>
  </si>
  <si>
    <t>Clearly label assumptions and verified evidence</t>
  </si>
  <si>
    <t>WBS ID</t>
  </si>
  <si>
    <t>Activity</t>
  </si>
  <si>
    <t>Start</t>
  </si>
  <si>
    <t>Finish</t>
  </si>
  <si>
    <t>1.0</t>
  </si>
  <si>
    <t>Problem Understanding</t>
  </si>
  <si>
    <t>Completed</t>
  </si>
  <si>
    <t>1.1</t>
  </si>
  <si>
    <t>Project Initiation &amp; Planning</t>
  </si>
  <si>
    <t>1.2</t>
  </si>
  <si>
    <t>Resource &amp; Data Review</t>
  </si>
  <si>
    <t>Planned</t>
  </si>
  <si>
    <t>1.3</t>
  </si>
  <si>
    <t>Initial Risk &amp; Dependency Identification</t>
  </si>
  <si>
    <t>2.0</t>
  </si>
  <si>
    <t>Analysis and Solution Design</t>
  </si>
  <si>
    <t>Week 6</t>
  </si>
  <si>
    <t>2.1</t>
  </si>
  <si>
    <t>Appointment Attendance Analysis</t>
  </si>
  <si>
    <t>2.2</t>
  </si>
  <si>
    <t>No-Show Prediction Problem Definition</t>
  </si>
  <si>
    <t>2.3</t>
  </si>
  <si>
    <t>AI Assistant Solution Design</t>
  </si>
  <si>
    <t>2.4</t>
  </si>
  <si>
    <t>ML System Design</t>
  </si>
  <si>
    <t>2.5</t>
  </si>
  <si>
    <t>Integrated Solution Planning</t>
  </si>
  <si>
    <t>3.0</t>
  </si>
  <si>
    <t>Week 7</t>
  </si>
  <si>
    <t>Week 9</t>
  </si>
  <si>
    <t>3.1</t>
  </si>
  <si>
    <t>Data Preparation</t>
  </si>
  <si>
    <t>Week 8</t>
  </si>
  <si>
    <t>3.2</t>
  </si>
  <si>
    <t>Analytics Development</t>
  </si>
  <si>
    <t>3.3</t>
  </si>
  <si>
    <t>Model Development</t>
  </si>
  <si>
    <t>3.4</t>
  </si>
  <si>
    <t>AI Assistant Prototype</t>
  </si>
  <si>
    <t>3.5</t>
  </si>
  <si>
    <t>Project Monitoring &amp; Coordination</t>
  </si>
  <si>
    <t>4.0</t>
  </si>
  <si>
    <t>Testing and Refinement</t>
  </si>
  <si>
    <t>Week 10</t>
  </si>
  <si>
    <t>Week 11</t>
  </si>
  <si>
    <t>4.1</t>
  </si>
  <si>
    <t>Solution Testing</t>
  </si>
  <si>
    <t>4.2</t>
  </si>
  <si>
    <t>AI Safety &amp; Scope Testing</t>
  </si>
  <si>
    <t>4.3</t>
  </si>
  <si>
    <t>Issue Resolution &amp; Refinement</t>
  </si>
  <si>
    <t>4.4</t>
  </si>
  <si>
    <t>Project Review</t>
  </si>
  <si>
    <t>5.0</t>
  </si>
  <si>
    <t>Final Presentation</t>
  </si>
  <si>
    <t>Week 12</t>
  </si>
  <si>
    <t>5.1</t>
  </si>
  <si>
    <t>Final Findings &amp; Recommendations</t>
  </si>
  <si>
    <t>5.2</t>
  </si>
  <si>
    <t>Final Documentation</t>
  </si>
  <si>
    <t>5.3</t>
  </si>
  <si>
    <t>Stage</t>
  </si>
  <si>
    <t>Major Activity</t>
  </si>
  <si>
    <t>Maintain project foundation</t>
  </si>
  <si>
    <t>Analysis &amp; Solution Design</t>
  </si>
  <si>
    <t>Coordinate analysis and solution-design prerequisites</t>
  </si>
  <si>
    <t>Monitor development workstreams</t>
  </si>
  <si>
    <t>Testing &amp; Refinement</t>
  </si>
  <si>
    <t>Monitor integrated testing and issue resolution</t>
  </si>
  <si>
    <t>Coordinate findings, documentation and presentation</t>
  </si>
  <si>
    <t>Task ID</t>
  </si>
  <si>
    <t>Workstream</t>
  </si>
  <si>
    <t>Task</t>
  </si>
  <si>
    <t>Objective</t>
  </si>
  <si>
    <t>Evidence / Status Basis</t>
  </si>
  <si>
    <t>PM-01</t>
  </si>
  <si>
    <t>Project Management</t>
  </si>
  <si>
    <t>Review Week 4 project foundation</t>
  </si>
  <si>
    <t>Confirm charter, scope, stakeholders, WBS, risks, dependencies and communication approach</t>
  </si>
  <si>
    <t>Week 4 outputs</t>
  </si>
  <si>
    <t>Week 4 foundation reviewed</t>
  </si>
  <si>
    <t>PM-02</t>
  </si>
  <si>
    <t>Convert WBS activities into actionable tasks</t>
  </si>
  <si>
    <t>Break major activities into trackable execution tasks</t>
  </si>
  <si>
    <t>Week 5 task structure</t>
  </si>
  <si>
    <t>PM-03</t>
  </si>
  <si>
    <t>Establish responsible workstreams</t>
  </si>
  <si>
    <t>Map tasks to appropriate HealthConnect workstreams</t>
  </si>
  <si>
    <t>Responsible Workstream mapping</t>
  </si>
  <si>
    <t>PM-04</t>
  </si>
  <si>
    <t>Establish task priorities</t>
  </si>
  <si>
    <t>Classify execution tasks by project importance</t>
  </si>
  <si>
    <t>Priority framework</t>
  </si>
  <si>
    <t>PM-05</t>
  </si>
  <si>
    <t>Establish project progress tracking</t>
  </si>
  <si>
    <t>Define status categories and evidence expectations</t>
  </si>
  <si>
    <t>Task tracker</t>
  </si>
  <si>
    <t>PM-06</t>
  </si>
  <si>
    <t>Update project timeline</t>
  </si>
  <si>
    <t>Reflect Week 5 execution and downstream milestones</t>
  </si>
  <si>
    <t>Updated timeline</t>
  </si>
  <si>
    <t>PM-07</t>
  </si>
  <si>
    <t>Review Week 4 risks</t>
  </si>
  <si>
    <t>Determine which prior risks remain relevant</t>
  </si>
  <si>
    <t>Week 4 Risk Register</t>
  </si>
  <si>
    <t>Updated risk register</t>
  </si>
  <si>
    <t>PM-08</t>
  </si>
  <si>
    <t>Review Week 4 dependencies</t>
  </si>
  <si>
    <t>Review existing project dependencies and impacts</t>
  </si>
  <si>
    <t>Week 4 Dependency Register</t>
  </si>
  <si>
    <t>Updated dependency register</t>
  </si>
  <si>
    <t>PM-09</t>
  </si>
  <si>
    <t>Identify new Week 5 risks</t>
  </si>
  <si>
    <t>Capture execution-stage risks</t>
  </si>
  <si>
    <t>New risk entries</t>
  </si>
  <si>
    <t>PM-10</t>
  </si>
  <si>
    <t>Establish track coordination mechanism</t>
  </si>
  <si>
    <t>Define inputs, outputs, checkpoints and escalation</t>
  </si>
  <si>
    <t>Track coordination plan</t>
  </si>
  <si>
    <t>PM-11</t>
  </si>
  <si>
    <t>Prepare Week 5 project status report</t>
  </si>
  <si>
    <t>Document evidence-based status and constraints</t>
  </si>
  <si>
    <t>Status report</t>
  </si>
  <si>
    <t>PM-12</t>
  </si>
  <si>
    <t>Document major issues</t>
  </si>
  <si>
    <t>Record known execution issues without inventing events</t>
  </si>
  <si>
    <t>Issues log</t>
  </si>
  <si>
    <t>PM-13</t>
  </si>
  <si>
    <t>Prepare Week 6 transition priorities</t>
  </si>
  <si>
    <t>Identify remaining work and next-stage priorities</t>
  </si>
  <si>
    <t>Week 6 priorities</t>
  </si>
  <si>
    <t>DA-01</t>
  </si>
  <si>
    <t>Data Analytics</t>
  </si>
  <si>
    <t>Inspect appointment dataset</t>
  </si>
  <si>
    <t>Dataset + Data Dictionary</t>
  </si>
  <si>
    <t>Awaiting Workstream Update</t>
  </si>
  <si>
    <t>No direct workstream update available</t>
  </si>
  <si>
    <t>DA-02</t>
  </si>
  <si>
    <t>Check data types and missing values</t>
  </si>
  <si>
    <t>DA-03</t>
  </si>
  <si>
    <t>Check duplicates/inconsistent values</t>
  </si>
  <si>
    <t>DA-04</t>
  </si>
  <si>
    <t>Perform exploratory analysis</t>
  </si>
  <si>
    <t>DA-02; DA-03</t>
  </si>
  <si>
    <t>DA-05</t>
  </si>
  <si>
    <t>Calculate selected KPIs</t>
  </si>
  <si>
    <t>DA-06</t>
  </si>
  <si>
    <t>Create initial dashboard/visualisations</t>
  </si>
  <si>
    <t>DA-04; DA-05</t>
  </si>
  <si>
    <t>DA-07</t>
  </si>
  <si>
    <t>Develop business insights</t>
  </si>
  <si>
    <t>DA-05; DA-06</t>
  </si>
  <si>
    <t>DA-08</t>
  </si>
  <si>
    <t>Document limitations/recommendations</t>
  </si>
  <si>
    <t>DS-01</t>
  </si>
  <si>
    <t>Data Science</t>
  </si>
  <si>
    <t>Review ML problem definition</t>
  </si>
  <si>
    <t>Week 4 definition</t>
  </si>
  <si>
    <t>DS-02</t>
  </si>
  <si>
    <t>Prepare modelling dataset</t>
  </si>
  <si>
    <t>DS-03</t>
  </si>
  <si>
    <t>Assess missing/inconsistent records</t>
  </si>
  <si>
    <t>DS-04</t>
  </si>
  <si>
    <t>Assess potential data leakage</t>
  </si>
  <si>
    <t>DS-05</t>
  </si>
  <si>
    <t>Engineer predictive features</t>
  </si>
  <si>
    <t>DS-06</t>
  </si>
  <si>
    <t>Define train/test strategy</t>
  </si>
  <si>
    <t>DS-07</t>
  </si>
  <si>
    <t>Train baseline classification model</t>
  </si>
  <si>
    <t>DS-08</t>
  </si>
  <si>
    <t>Evaluate baseline model</t>
  </si>
  <si>
    <t>DS-09</t>
  </si>
  <si>
    <t>Document modelling limitations</t>
  </si>
  <si>
    <t>ML-01</t>
  </si>
  <si>
    <t>ML Engineering</t>
  </si>
  <si>
    <t>Review Week 4 architecture</t>
  </si>
  <si>
    <t>Week 4 architecture</t>
  </si>
  <si>
    <t>ML-02</t>
  </si>
  <si>
    <t>Establish repository structure</t>
  </si>
  <si>
    <t>ML-03</t>
  </si>
  <si>
    <t>Implement data-processing workflow</t>
  </si>
  <si>
    <t>ML-04</t>
  </si>
  <si>
    <t>Create reusable preprocessing components</t>
  </si>
  <si>
    <t>ML-05</t>
  </si>
  <si>
    <t>Implement initial model workflow</t>
  </si>
  <si>
    <t>ML-06</t>
  </si>
  <si>
    <t>Establish dependencies/configuration</t>
  </si>
  <si>
    <t>ML-07</t>
  </si>
  <si>
    <t>Document pipeline</t>
  </si>
  <si>
    <t>ML-08</t>
  </si>
  <si>
    <t>Test pipeline components</t>
  </si>
  <si>
    <t>ML-03; ML-05</t>
  </si>
  <si>
    <t>AI-01</t>
  </si>
  <si>
    <t>Review Week 4 assistant design</t>
  </si>
  <si>
    <t>Week 4 design</t>
  </si>
  <si>
    <t>AI-02</t>
  </si>
  <si>
    <t>Develop approved-use-case prompts</t>
  </si>
  <si>
    <t>AI-01 + Knowledge Base</t>
  </si>
  <si>
    <t>AI-03</t>
  </si>
  <si>
    <t>Test prompt variations</t>
  </si>
  <si>
    <t>AI-04</t>
  </si>
  <si>
    <t>Integrate approved Knowledge Base information</t>
  </si>
  <si>
    <t>AI-05</t>
  </si>
  <si>
    <t>Test supported questions</t>
  </si>
  <si>
    <t>AI-06</t>
  </si>
  <si>
    <t>Test ambiguous questions</t>
  </si>
  <si>
    <t>AI-07</t>
  </si>
  <si>
    <t>Test unsupported requests</t>
  </si>
  <si>
    <t>AI-08</t>
  </si>
  <si>
    <t>Test escalation scenarios</t>
  </si>
  <si>
    <t>AI-09</t>
  </si>
  <si>
    <t>Develop initial prototype/workflow</t>
  </si>
  <si>
    <t>AI-05; AI-06; AI-07; AI-08</t>
  </si>
  <si>
    <t>AI-10</t>
  </si>
  <si>
    <t>Document limitations and next steps</t>
  </si>
  <si>
    <t>HEALTHCONNECT CLINIC — WEEK 5 PROJECT EXECUTION &amp; PROGRESS PACKAGE</t>
  </si>
  <si>
    <t>HealthConnect Clinic Experience Lab</t>
  </si>
  <si>
    <t>Project Title</t>
  </si>
  <si>
    <t>Improving Patient Appointment Attendance and Healthcare Support Using Data and AI</t>
  </si>
  <si>
    <t>Track</t>
  </si>
  <si>
    <t>Week</t>
  </si>
  <si>
    <t>Week 5 — Project Execution &amp; Progress Management</t>
  </si>
  <si>
    <t>Execution Context</t>
  </si>
  <si>
    <t>Individual online internship; technical-track progress is not claimed without evidence</t>
  </si>
  <si>
    <t>Status Basis</t>
  </si>
  <si>
    <t>Completed / Planned / Awaiting Workstream Update</t>
  </si>
  <si>
    <t>Control Metrics</t>
  </si>
  <si>
    <t>Control Note</t>
  </si>
  <si>
    <t>Total Tasks</t>
  </si>
  <si>
    <t>Technical-track completion is not fabricated. Unknown technical progress is recorded as Awaiting Workstream Update.</t>
  </si>
  <si>
    <t>High Priority</t>
  </si>
  <si>
    <t>Open Risks</t>
  </si>
  <si>
    <t>Open Dependencies</t>
  </si>
  <si>
    <t>Open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</si>
</sst>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mbria"/>
      <family val="1"/>
    </font>
    <font>
      <b/>
      <sz val="16"/>
      <color rgb="FFFFFFFF"/>
      <name val="Cambria"/>
      <family val="1"/>
    </font>
    <font>
      <b/>
      <sz val="11"/>
      <name val="Cambria"/>
      <family val="1"/>
    </font>
    <font>
      <b/>
      <sz val="11"/>
      <color rgb="FFFFFFFF"/>
      <name val="Cambria"/>
      <family val="1"/>
    </font>
    <font>
      <b/>
      <sz val="11"/>
      <color theme="0"/>
      <name val="Cambria"/>
      <family val="1"/>
    </font>
    <font>
      <sz val="11"/>
      <color theme="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4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0" borderId="6" xfId="0" applyFont="1" applyFill="1" applyBorder="1" applyAlignment="1">
      <alignment vertical="top"/>
    </xf>
    <xf numFmtId="0" fontId="1" fillId="0" borderId="0" xfId="0" applyFont="1" applyFill="1" applyAlignment="1"/>
    <xf numFmtId="0" fontId="3" fillId="0" borderId="0" xfId="0" applyFont="1"/>
    <xf numFmtId="0" fontId="3" fillId="0" borderId="0" xfId="0" applyFont="1"/>
    <xf numFmtId="0" fontId="3" fillId="0" borderId="0" xfId="0" applyFont="1" applyAlignment="1"/>
    <xf numFmtId="0" fontId="5" fillId="0" borderId="1" xfId="0" applyFont="1" applyBorder="1"/>
    <xf numFmtId="0" fontId="3" fillId="0" borderId="1" xfId="0" applyFont="1" applyBorder="1"/>
    <xf numFmtId="0" fontId="3" fillId="0" borderId="0" xfId="0" applyFont="1" applyAlignment="1">
      <alignment vertical="top"/>
    </xf>
    <xf numFmtId="0" fontId="0" fillId="0" borderId="0" xfId="0" applyFill="1"/>
    <xf numFmtId="0" fontId="6" fillId="0" borderId="4" xfId="0" applyFont="1" applyFill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0" fontId="3" fillId="0" borderId="0" xfId="0" applyFont="1" applyFill="1"/>
    <xf numFmtId="0" fontId="3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0" fontId="3" fillId="0" borderId="0" xfId="0" applyFont="1" applyFill="1" applyAlignment="1"/>
    <xf numFmtId="0" fontId="3" fillId="0" borderId="0" xfId="0" applyFont="1" applyAlignment="1"/>
    <xf numFmtId="0" fontId="6" fillId="0" borderId="4" xfId="0" applyFont="1" applyFill="1" applyBorder="1" applyAlignment="1">
      <alignment vertical="top"/>
    </xf>
    <xf numFmtId="0" fontId="6" fillId="0" borderId="5" xfId="0" applyFont="1" applyFill="1" applyBorder="1" applyAlignment="1">
      <alignment vertical="top"/>
    </xf>
    <xf numFmtId="0" fontId="6" fillId="0" borderId="6" xfId="0" applyFont="1" applyFill="1" applyBorder="1" applyAlignment="1">
      <alignment vertical="top"/>
    </xf>
    <xf numFmtId="0" fontId="7" fillId="2" borderId="0" xfId="0" applyFont="1" applyFill="1"/>
    <xf numFmtId="0" fontId="3" fillId="2" borderId="0" xfId="0" applyFont="1" applyFill="1"/>
    <xf numFmtId="0" fontId="7" fillId="2" borderId="0" xfId="0" applyFont="1" applyFill="1" applyAlignment="1"/>
    <xf numFmtId="0" fontId="8" fillId="2" borderId="0" xfId="0" applyFont="1" applyFill="1" applyAlignment="1"/>
    <xf numFmtId="0" fontId="4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1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/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strike val="0"/>
        <outline val="0"/>
        <shadow val="0"/>
        <u val="none"/>
        <vertAlign val="baseline"/>
        <sz val="11"/>
        <name val="Cambria"/>
        <family val="1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HealthConnect_Week5_Project_Execution_Pack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Dashboard"/>
      <sheetName val="Task Tracker"/>
      <sheetName val="Updated Project Plan"/>
      <sheetName val="Timeline"/>
      <sheetName val="Risk Register"/>
      <sheetName val="Dependency Register"/>
      <sheetName val="Issues Log"/>
      <sheetName val="Decision Log"/>
      <sheetName val="Track Coordination"/>
    </sheetNames>
    <sheetDataSet>
      <sheetData sheetId="0" refreshError="1"/>
      <sheetData sheetId="1">
        <row r="1">
          <cell r="E1" t="str">
            <v>Priority</v>
          </cell>
          <cell r="H1" t="str">
            <v>Status</v>
          </cell>
        </row>
        <row r="2">
          <cell r="A2" t="str">
            <v>PM-01</v>
          </cell>
          <cell r="E2" t="str">
            <v>High</v>
          </cell>
          <cell r="H2" t="str">
            <v>Completed</v>
          </cell>
        </row>
        <row r="3">
          <cell r="A3" t="str">
            <v>PM-02</v>
          </cell>
          <cell r="E3" t="str">
            <v>High</v>
          </cell>
          <cell r="H3" t="str">
            <v>Completed</v>
          </cell>
        </row>
        <row r="4">
          <cell r="A4" t="str">
            <v>PM-03</v>
          </cell>
          <cell r="E4" t="str">
            <v>High</v>
          </cell>
          <cell r="H4" t="str">
            <v>Planned</v>
          </cell>
        </row>
        <row r="5">
          <cell r="A5" t="str">
            <v>PM-04</v>
          </cell>
          <cell r="E5" t="str">
            <v>High</v>
          </cell>
          <cell r="H5" t="str">
            <v>Planned</v>
          </cell>
        </row>
        <row r="6">
          <cell r="A6" t="str">
            <v>PM-05</v>
          </cell>
          <cell r="E6" t="str">
            <v>High</v>
          </cell>
          <cell r="H6" t="str">
            <v>Planned</v>
          </cell>
        </row>
        <row r="7">
          <cell r="A7" t="str">
            <v>PM-06</v>
          </cell>
          <cell r="E7" t="str">
            <v>High</v>
          </cell>
          <cell r="H7" t="str">
            <v>Planned</v>
          </cell>
        </row>
        <row r="8">
          <cell r="A8" t="str">
            <v>PM-07</v>
          </cell>
          <cell r="E8" t="str">
            <v>High</v>
          </cell>
          <cell r="H8" t="str">
            <v>Planned</v>
          </cell>
        </row>
        <row r="9">
          <cell r="A9" t="str">
            <v>PM-08</v>
          </cell>
          <cell r="E9" t="str">
            <v>High</v>
          </cell>
          <cell r="H9" t="str">
            <v>Planned</v>
          </cell>
        </row>
        <row r="10">
          <cell r="A10" t="str">
            <v>PM-09</v>
          </cell>
          <cell r="E10" t="str">
            <v>Medium</v>
          </cell>
          <cell r="H10" t="str">
            <v>Planned</v>
          </cell>
        </row>
        <row r="11">
          <cell r="A11" t="str">
            <v>PM-10</v>
          </cell>
          <cell r="E11" t="str">
            <v>High</v>
          </cell>
          <cell r="H11" t="str">
            <v>Planned</v>
          </cell>
        </row>
        <row r="12">
          <cell r="A12" t="str">
            <v>PM-11</v>
          </cell>
          <cell r="E12" t="str">
            <v>High</v>
          </cell>
          <cell r="H12" t="str">
            <v>Planned</v>
          </cell>
        </row>
        <row r="13">
          <cell r="A13" t="str">
            <v>PM-12</v>
          </cell>
          <cell r="E13" t="str">
            <v>Medium</v>
          </cell>
          <cell r="H13" t="str">
            <v>Planned</v>
          </cell>
        </row>
        <row r="14">
          <cell r="A14" t="str">
            <v>PM-13</v>
          </cell>
          <cell r="E14" t="str">
            <v>High</v>
          </cell>
          <cell r="H14" t="str">
            <v>Planned</v>
          </cell>
        </row>
        <row r="15">
          <cell r="A15" t="str">
            <v>DA-01</v>
          </cell>
          <cell r="E15" t="str">
            <v>High</v>
          </cell>
          <cell r="H15" t="str">
            <v>Awaiting Workstream Update</v>
          </cell>
        </row>
        <row r="16">
          <cell r="A16" t="str">
            <v>DA-02</v>
          </cell>
          <cell r="E16" t="str">
            <v>High</v>
          </cell>
          <cell r="H16" t="str">
            <v>Awaiting Workstream Update</v>
          </cell>
        </row>
        <row r="17">
          <cell r="A17" t="str">
            <v>DA-03</v>
          </cell>
          <cell r="E17" t="str">
            <v>High</v>
          </cell>
          <cell r="H17" t="str">
            <v>Awaiting Workstream Update</v>
          </cell>
        </row>
        <row r="18">
          <cell r="A18" t="str">
            <v>DA-04</v>
          </cell>
          <cell r="E18" t="str">
            <v>High</v>
          </cell>
          <cell r="H18" t="str">
            <v>Awaiting Workstream Update</v>
          </cell>
        </row>
        <row r="19">
          <cell r="A19" t="str">
            <v>DA-05</v>
          </cell>
          <cell r="E19" t="str">
            <v>High</v>
          </cell>
          <cell r="H19" t="str">
            <v>Awaiting Workstream Update</v>
          </cell>
        </row>
        <row r="20">
          <cell r="A20" t="str">
            <v>DA-06</v>
          </cell>
          <cell r="E20" t="str">
            <v>High</v>
          </cell>
          <cell r="H20" t="str">
            <v>Awaiting Workstream Update</v>
          </cell>
        </row>
        <row r="21">
          <cell r="A21" t="str">
            <v>DA-07</v>
          </cell>
          <cell r="E21" t="str">
            <v>High</v>
          </cell>
          <cell r="H21" t="str">
            <v>Awaiting Workstream Update</v>
          </cell>
        </row>
        <row r="22">
          <cell r="A22" t="str">
            <v>DA-08</v>
          </cell>
          <cell r="E22" t="str">
            <v>Medium</v>
          </cell>
          <cell r="H22" t="str">
            <v>Awaiting Workstream Update</v>
          </cell>
        </row>
        <row r="23">
          <cell r="A23" t="str">
            <v>DS-01</v>
          </cell>
          <cell r="E23" t="str">
            <v>High</v>
          </cell>
          <cell r="H23" t="str">
            <v>Awaiting Workstream Update</v>
          </cell>
        </row>
        <row r="24">
          <cell r="A24" t="str">
            <v>DS-02</v>
          </cell>
          <cell r="E24" t="str">
            <v>High</v>
          </cell>
          <cell r="H24" t="str">
            <v>Awaiting Workstream Update</v>
          </cell>
        </row>
        <row r="25">
          <cell r="A25" t="str">
            <v>DS-03</v>
          </cell>
          <cell r="E25" t="str">
            <v>High</v>
          </cell>
          <cell r="H25" t="str">
            <v>Awaiting Workstream Update</v>
          </cell>
        </row>
        <row r="26">
          <cell r="A26" t="str">
            <v>DS-04</v>
          </cell>
          <cell r="E26" t="str">
            <v>High</v>
          </cell>
          <cell r="H26" t="str">
            <v>Awaiting Workstream Update</v>
          </cell>
        </row>
        <row r="27">
          <cell r="A27" t="str">
            <v>DS-05</v>
          </cell>
          <cell r="E27" t="str">
            <v>High</v>
          </cell>
          <cell r="H27" t="str">
            <v>Awaiting Workstream Update</v>
          </cell>
        </row>
        <row r="28">
          <cell r="A28" t="str">
            <v>DS-06</v>
          </cell>
          <cell r="E28" t="str">
            <v>High</v>
          </cell>
          <cell r="H28" t="str">
            <v>Awaiting Workstream Update</v>
          </cell>
        </row>
        <row r="29">
          <cell r="A29" t="str">
            <v>DS-07</v>
          </cell>
          <cell r="E29" t="str">
            <v>High</v>
          </cell>
          <cell r="H29" t="str">
            <v>Awaiting Workstream Update</v>
          </cell>
        </row>
        <row r="30">
          <cell r="A30" t="str">
            <v>DS-08</v>
          </cell>
          <cell r="E30" t="str">
            <v>High</v>
          </cell>
          <cell r="H30" t="str">
            <v>Awaiting Workstream Update</v>
          </cell>
        </row>
        <row r="31">
          <cell r="A31" t="str">
            <v>DS-09</v>
          </cell>
          <cell r="E31" t="str">
            <v>Medium</v>
          </cell>
          <cell r="H31" t="str">
            <v>Awaiting Workstream Update</v>
          </cell>
        </row>
        <row r="32">
          <cell r="A32" t="str">
            <v>ML-01</v>
          </cell>
          <cell r="E32" t="str">
            <v>High</v>
          </cell>
          <cell r="H32" t="str">
            <v>Awaiting Workstream Update</v>
          </cell>
        </row>
        <row r="33">
          <cell r="A33" t="str">
            <v>ML-02</v>
          </cell>
          <cell r="E33" t="str">
            <v>High</v>
          </cell>
          <cell r="H33" t="str">
            <v>Awaiting Workstream Update</v>
          </cell>
        </row>
        <row r="34">
          <cell r="A34" t="str">
            <v>ML-03</v>
          </cell>
          <cell r="E34" t="str">
            <v>High</v>
          </cell>
          <cell r="H34" t="str">
            <v>Awaiting Workstream Update</v>
          </cell>
        </row>
        <row r="35">
          <cell r="A35" t="str">
            <v>ML-04</v>
          </cell>
          <cell r="E35" t="str">
            <v>Medium</v>
          </cell>
          <cell r="H35" t="str">
            <v>Awaiting Workstream Update</v>
          </cell>
        </row>
        <row r="36">
          <cell r="A36" t="str">
            <v>ML-05</v>
          </cell>
          <cell r="E36" t="str">
            <v>High</v>
          </cell>
          <cell r="H36" t="str">
            <v>Awaiting Workstream Update</v>
          </cell>
        </row>
        <row r="37">
          <cell r="A37" t="str">
            <v>ML-06</v>
          </cell>
          <cell r="E37" t="str">
            <v>Medium</v>
          </cell>
          <cell r="H37" t="str">
            <v>Awaiting Workstream Update</v>
          </cell>
        </row>
        <row r="38">
          <cell r="A38" t="str">
            <v>ML-07</v>
          </cell>
          <cell r="E38" t="str">
            <v>Medium</v>
          </cell>
          <cell r="H38" t="str">
            <v>Awaiting Workstream Update</v>
          </cell>
        </row>
        <row r="39">
          <cell r="A39" t="str">
            <v>ML-08</v>
          </cell>
          <cell r="E39" t="str">
            <v>High</v>
          </cell>
          <cell r="H39" t="str">
            <v>Awaiting Workstream Update</v>
          </cell>
        </row>
        <row r="40">
          <cell r="A40" t="str">
            <v>AI-01</v>
          </cell>
          <cell r="E40" t="str">
            <v>High</v>
          </cell>
          <cell r="H40" t="str">
            <v>Awaiting Workstream Update</v>
          </cell>
        </row>
        <row r="41">
          <cell r="A41" t="str">
            <v>AI-02</v>
          </cell>
          <cell r="E41" t="str">
            <v>High</v>
          </cell>
          <cell r="H41" t="str">
            <v>Awaiting Workstream Update</v>
          </cell>
        </row>
        <row r="42">
          <cell r="A42" t="str">
            <v>AI-03</v>
          </cell>
          <cell r="E42" t="str">
            <v>High</v>
          </cell>
          <cell r="H42" t="str">
            <v>Awaiting Workstream Update</v>
          </cell>
        </row>
        <row r="43">
          <cell r="A43" t="str">
            <v>AI-04</v>
          </cell>
          <cell r="E43" t="str">
            <v>High</v>
          </cell>
          <cell r="H43" t="str">
            <v>Awaiting Workstream Update</v>
          </cell>
        </row>
        <row r="44">
          <cell r="A44" t="str">
            <v>AI-05</v>
          </cell>
          <cell r="E44" t="str">
            <v>High</v>
          </cell>
          <cell r="H44" t="str">
            <v>Awaiting Workstream Update</v>
          </cell>
        </row>
        <row r="45">
          <cell r="A45" t="str">
            <v>AI-06</v>
          </cell>
          <cell r="E45" t="str">
            <v>High</v>
          </cell>
          <cell r="H45" t="str">
            <v>Awaiting Workstream Update</v>
          </cell>
        </row>
        <row r="46">
          <cell r="A46" t="str">
            <v>AI-07</v>
          </cell>
          <cell r="E46" t="str">
            <v>High</v>
          </cell>
          <cell r="H46" t="str">
            <v>Awaiting Workstream Update</v>
          </cell>
        </row>
        <row r="47">
          <cell r="A47" t="str">
            <v>AI-08</v>
          </cell>
          <cell r="E47" t="str">
            <v>High</v>
          </cell>
          <cell r="H47" t="str">
            <v>Awaiting Workstream Update</v>
          </cell>
        </row>
        <row r="48">
          <cell r="A48" t="str">
            <v>AI-09</v>
          </cell>
          <cell r="E48" t="str">
            <v>High</v>
          </cell>
          <cell r="H48" t="str">
            <v>Awaiting Workstream Update</v>
          </cell>
        </row>
        <row r="49">
          <cell r="A49" t="str">
            <v>AI-10</v>
          </cell>
          <cell r="E49" t="str">
            <v>Medium</v>
          </cell>
          <cell r="H49" t="str">
            <v>Awaiting Workstream Update</v>
          </cell>
        </row>
      </sheetData>
      <sheetData sheetId="2" refreshError="1"/>
      <sheetData sheetId="3" refreshError="1"/>
      <sheetData sheetId="4">
        <row r="1">
          <cell r="J1" t="str">
            <v>Status</v>
          </cell>
        </row>
        <row r="2">
          <cell r="J2" t="str">
            <v>Open</v>
          </cell>
        </row>
        <row r="3">
          <cell r="J3" t="str">
            <v>Open</v>
          </cell>
        </row>
        <row r="4">
          <cell r="J4" t="str">
            <v>Open</v>
          </cell>
        </row>
        <row r="5">
          <cell r="J5" t="str">
            <v>Open</v>
          </cell>
        </row>
        <row r="6">
          <cell r="J6" t="str">
            <v>Open</v>
          </cell>
        </row>
        <row r="7">
          <cell r="J7" t="str">
            <v>Open</v>
          </cell>
        </row>
        <row r="8">
          <cell r="J8" t="str">
            <v>Open</v>
          </cell>
        </row>
        <row r="9">
          <cell r="J9" t="str">
            <v>Open</v>
          </cell>
        </row>
        <row r="10">
          <cell r="J10" t="str">
            <v>Open</v>
          </cell>
        </row>
        <row r="11">
          <cell r="J11" t="str">
            <v>Open</v>
          </cell>
        </row>
        <row r="12">
          <cell r="J12" t="str">
            <v>Open</v>
          </cell>
        </row>
        <row r="13">
          <cell r="J13" t="str">
            <v>Open</v>
          </cell>
        </row>
        <row r="14">
          <cell r="J14" t="str">
            <v>Open</v>
          </cell>
        </row>
        <row r="15">
          <cell r="J15" t="str">
            <v>Open</v>
          </cell>
        </row>
      </sheetData>
      <sheetData sheetId="5">
        <row r="1">
          <cell r="H1" t="str">
            <v>Status</v>
          </cell>
        </row>
        <row r="2">
          <cell r="H2" t="str">
            <v>Open</v>
          </cell>
        </row>
        <row r="3">
          <cell r="H3" t="str">
            <v>Open</v>
          </cell>
        </row>
        <row r="4">
          <cell r="H4" t="str">
            <v>Open</v>
          </cell>
        </row>
        <row r="5">
          <cell r="H5" t="str">
            <v>Open</v>
          </cell>
        </row>
        <row r="6">
          <cell r="H6" t="str">
            <v>Open</v>
          </cell>
        </row>
        <row r="7">
          <cell r="H7" t="str">
            <v>Open</v>
          </cell>
        </row>
        <row r="8">
          <cell r="H8" t="str">
            <v>Open</v>
          </cell>
        </row>
        <row r="9">
          <cell r="H9" t="str">
            <v>Open</v>
          </cell>
        </row>
        <row r="10">
          <cell r="H10" t="str">
            <v>Open</v>
          </cell>
        </row>
      </sheetData>
      <sheetData sheetId="6">
        <row r="1">
          <cell r="G1" t="str">
            <v>Status</v>
          </cell>
        </row>
        <row r="2">
          <cell r="G2" t="str">
            <v>Open</v>
          </cell>
        </row>
        <row r="3">
          <cell r="G3" t="str">
            <v>Open</v>
          </cell>
        </row>
        <row r="4">
          <cell r="G4" t="str">
            <v>Open</v>
          </cell>
        </row>
      </sheetData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11B54-C8A4-47F1-8417-21E7C051B587}" name="Table1" displayName="Table1" ref="A1:I49" totalsRowShown="0" headerRowDxfId="97" dataDxfId="74" headerRowBorderDxfId="99" tableBorderDxfId="100" totalsRowBorderDxfId="98">
  <autoFilter ref="A1:I49" xr:uid="{4B011B54-C8A4-47F1-8417-21E7C051B587}"/>
  <tableColumns count="9">
    <tableColumn id="1" xr3:uid="{FAC164A7-3404-4617-8974-81400AEDEF4B}" name="Task ID" dataDxfId="83"/>
    <tableColumn id="2" xr3:uid="{A057F297-BBEC-455E-A58A-705432486C6F}" name="Workstream" dataDxfId="82"/>
    <tableColumn id="3" xr3:uid="{35FF78A1-0E4F-4D5B-A1C4-97535E01AD4A}" name="Task" dataDxfId="81"/>
    <tableColumn id="4" xr3:uid="{13D5A9BE-EC5D-4B66-861E-108AB220E993}" name="Objective" dataDxfId="80"/>
    <tableColumn id="5" xr3:uid="{AB3C2F8E-22A2-4C99-B770-8719133543A7}" name="Priority" dataDxfId="79"/>
    <tableColumn id="6" xr3:uid="{6F73011F-751E-41BC-84A6-16379F362D24}" name="Dependency" dataDxfId="78"/>
    <tableColumn id="7" xr3:uid="{1E84DA13-277D-4871-A9B7-9080C5454FA9}" name="Responsible Workstream" dataDxfId="77"/>
    <tableColumn id="8" xr3:uid="{ADFC9422-E63A-4F53-A3AF-1FEE23D02CD6}" name="Status" dataDxfId="76"/>
    <tableColumn id="9" xr3:uid="{C8E539AF-6C61-4E06-A613-A5E7EE741C2D}" name="Evidence / Status Basis" dataDxfId="7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223FF5-0AD2-4916-B259-8A2BADB13598}" name="Table2" displayName="Table2" ref="A1:H6" totalsRowShown="0" headerRowDxfId="85" dataDxfId="84" headerRowBorderDxfId="95" tableBorderDxfId="96" totalsRowBorderDxfId="94">
  <autoFilter ref="A1:H6" xr:uid="{8B223FF5-0AD2-4916-B259-8A2BADB13598}"/>
  <tableColumns count="8">
    <tableColumn id="1" xr3:uid="{61A18685-7195-46DB-9E4C-FEA8730D4141}" name="WBS ID" dataDxfId="93"/>
    <tableColumn id="2" xr3:uid="{D0167B5F-43EC-43CE-B5B4-8B991E248DA9}" name="Stage" dataDxfId="92"/>
    <tableColumn id="3" xr3:uid="{0040BAD8-E40D-4276-81D8-6A2E1CCA9725}" name="Major Activity" dataDxfId="91"/>
    <tableColumn id="4" xr3:uid="{290C7E44-326A-4C00-A5FC-B6DC815F1239}" name="Responsible Workstream" dataDxfId="90"/>
    <tableColumn id="5" xr3:uid="{E34D6E1B-AB73-4FCA-A445-EB43D4C01822}" name="Start" dataDxfId="89"/>
    <tableColumn id="6" xr3:uid="{8A0D1759-75B2-4972-A71B-EFEF8B4B6BC3}" name="Finish" dataDxfId="88"/>
    <tableColumn id="7" xr3:uid="{745DB249-FB60-4BF6-8F8B-821C0A58DB13}" name="Priority" dataDxfId="87"/>
    <tableColumn id="8" xr3:uid="{5F5FF9D1-1A2D-4DBD-9972-6373DEBA1D12}" name="Status" dataDxfId="8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18075A-67A8-4A9E-97D1-606EE25A9BF5}" name="Table3" displayName="Table3" ref="A1:E26" totalsRowShown="0" headerRowDxfId="50" dataDxfId="49" headerRowBorderDxfId="72" tableBorderDxfId="73" totalsRowBorderDxfId="71">
  <autoFilter ref="A1:E26" xr:uid="{E418075A-67A8-4A9E-97D1-606EE25A9BF5}"/>
  <tableColumns count="5">
    <tableColumn id="1" xr3:uid="{268A710E-D285-4559-8EA1-C169D2B3804C}" name="WBS ID" dataDxfId="55"/>
    <tableColumn id="2" xr3:uid="{195B72E6-65B9-482D-85F8-E7061E9D5D6E}" name="Activity" dataDxfId="54"/>
    <tableColumn id="3" xr3:uid="{710E755C-FE1E-4134-8138-09995B6D5614}" name="Start" dataDxfId="53"/>
    <tableColumn id="4" xr3:uid="{D0A098B6-2517-4574-89A0-2325F49CC72E}" name="Finish" dataDxfId="52"/>
    <tableColumn id="5" xr3:uid="{3AFCBF21-7650-40EF-A0F6-57CDDEC8AFA6}" name="Status" dataDxfId="5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56FEB6-B559-49D6-A6E5-0619C612A831}" name="Table4" displayName="Table4" ref="A1:J15" totalsRowShown="0" headerRowDxfId="57" dataDxfId="56" headerRowBorderDxfId="69" tableBorderDxfId="70" totalsRowBorderDxfId="68">
  <autoFilter ref="A1:J15" xr:uid="{3456FEB6-B559-49D6-A6E5-0619C612A831}"/>
  <tableColumns count="10">
    <tableColumn id="1" xr3:uid="{C2B1555A-201F-42BB-822E-683AF61EFE5D}" name="Risk ID" dataDxfId="67"/>
    <tableColumn id="2" xr3:uid="{7BEDC2FD-5A95-4012-B6A6-2D3EDACCDDAD}" name="Category" dataDxfId="66"/>
    <tableColumn id="3" xr3:uid="{7B27DC12-D0FE-4648-9133-CD0FFFD62921}" name="Risk Description" dataDxfId="65"/>
    <tableColumn id="4" xr3:uid="{63500305-7469-4641-B023-91D4B9E86FA9}" name="Origin" dataDxfId="64"/>
    <tableColumn id="5" xr3:uid="{C5FCCD19-F3BC-4A24-9873-A1F5E9EBC150}" name="Likelihood" dataDxfId="63"/>
    <tableColumn id="6" xr3:uid="{0CBDC43C-C115-48A6-A7F7-420FE9006C56}" name="Impact" dataDxfId="62"/>
    <tableColumn id="7" xr3:uid="{0BA51EA8-4551-41E9-AB1B-A03586DCCE94}" name="Rating" dataDxfId="61"/>
    <tableColumn id="8" xr3:uid="{405B7F08-EFD2-4F06-91EE-439F124BF0AB}" name="Mitigation / Response" dataDxfId="60"/>
    <tableColumn id="9" xr3:uid="{03CF1C11-082B-4E96-A43B-B2AE785572F4}" name="Owner" dataDxfId="59"/>
    <tableColumn id="10" xr3:uid="{261C2CDF-2C28-4346-84E8-ECB2509C71CF}" name="Status" dataDxfId="5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FA6172-8506-4D03-BCA2-95D2CC5F90C0}" name="Table5" displayName="Table5" ref="A1:H10" totalsRowShown="0" headerRowDxfId="36" dataDxfId="37" headerRowBorderDxfId="47" tableBorderDxfId="48" totalsRowBorderDxfId="46">
  <autoFilter ref="A1:H10" xr:uid="{A6FA6172-8506-4D03-BCA2-95D2CC5F90C0}"/>
  <tableColumns count="8">
    <tableColumn id="1" xr3:uid="{7AE7EC6D-14A7-4055-814A-39F495A7DCDC}" name="Dependency ID" dataDxfId="45"/>
    <tableColumn id="2" xr3:uid="{38324F58-0F1E-476C-A671-53440A1D2B7D}" name="Dependency" dataDxfId="44"/>
    <tableColumn id="3" xr3:uid="{4D78F93E-15AA-42A2-968E-F600E9962C36}" name="Dependent Activity" dataDxfId="43"/>
    <tableColumn id="4" xr3:uid="{154F0B45-AAED-48A0-91BD-104225B2935A}" name="Type" dataDxfId="42"/>
    <tableColumn id="5" xr3:uid="{4E111CAB-94B6-4BA6-8E70-EFE5993A21CB}" name="Responsible Workstream" dataDxfId="41"/>
    <tableColumn id="6" xr3:uid="{E13B23D7-2C44-4D13-9B2C-4E21C07F8D20}" name="Criticality" dataDxfId="40"/>
    <tableColumn id="7" xr3:uid="{441E361A-9800-4044-95CD-5E89F7870F79}" name="Expected Condition" dataDxfId="39"/>
    <tableColumn id="8" xr3:uid="{CC43BEB4-B617-4D54-86CF-88166AA62846}" name="Status" dataDxfId="3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B626ED-A0F4-4364-8A87-0B67AAAE598A}" name="Table6" displayName="Table6" ref="A1:H4" totalsRowShown="0" headerRowDxfId="24" dataDxfId="23" headerRowBorderDxfId="34" tableBorderDxfId="35" totalsRowBorderDxfId="33">
  <autoFilter ref="A1:H4" xr:uid="{5AB626ED-A0F4-4364-8A87-0B67AAAE598A}"/>
  <tableColumns count="8">
    <tableColumn id="1" xr3:uid="{CF3343C5-F1BA-48BA-BA7A-EA49FC6E1D10}" name="Issue ID" dataDxfId="32"/>
    <tableColumn id="2" xr3:uid="{94877432-7541-43CE-962B-4B365BCFF70F}" name="Category" dataDxfId="31"/>
    <tableColumn id="3" xr3:uid="{2E598BDA-5FA9-4F89-8963-64D5D33ACED2}" name="Issue" dataDxfId="30"/>
    <tableColumn id="4" xr3:uid="{EF104128-F4BA-4079-A026-3DB145F61C4C}" name="Owner" dataDxfId="29"/>
    <tableColumn id="5" xr3:uid="{D6CD43A7-0D71-4B29-8FC2-9A709698F115}" name="Impact" dataDxfId="28"/>
    <tableColumn id="6" xr3:uid="{39B58363-42F7-405B-970D-423DF218EE19}" name="Action / Response" dataDxfId="27"/>
    <tableColumn id="7" xr3:uid="{A5A59BBA-975E-4F43-BF0B-8030479130A1}" name="Status" dataDxfId="26"/>
    <tableColumn id="8" xr3:uid="{8D1BD292-E00A-45D6-B943-B2A25D89F38C}" name="Identified" dataDxfId="25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52C5C5-6DFD-4C4B-8D24-3C5F426EBBFE}" name="Table7" displayName="Table7" ref="A1:F5" totalsRowShown="0" headerRowDxfId="12" dataDxfId="13" headerRowBorderDxfId="21" tableBorderDxfId="22" totalsRowBorderDxfId="20">
  <autoFilter ref="A1:F5" xr:uid="{D352C5C5-6DFD-4C4B-8D24-3C5F426EBBFE}"/>
  <tableColumns count="6">
    <tableColumn id="1" xr3:uid="{3AFE712B-36A6-44FD-88C1-AD3C57C98D1F}" name="Decision ID" dataDxfId="19"/>
    <tableColumn id="2" xr3:uid="{14C57438-5B50-498F-9F73-DCB90434140A}" name="Decision" dataDxfId="18"/>
    <tableColumn id="3" xr3:uid="{DC6B1EFC-D25A-4FC7-BFF2-D3F07D866AA6}" name="Reason" dataDxfId="17"/>
    <tableColumn id="4" xr3:uid="{0D759A61-4D4D-432E-87A8-F161669B03D5}" name="Timing" dataDxfId="16"/>
    <tableColumn id="5" xr3:uid="{102091C1-3E70-4A95-840A-7EA70CE25939}" name="Decision Owner" dataDxfId="15"/>
    <tableColumn id="6" xr3:uid="{7432D2B0-B714-440C-92CD-6111A3AD594F}" name="Status" dataDxfId="1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829172-5CD1-4516-996B-4C342DDC8388}" name="Table8" displayName="Table8" ref="A1:G6" totalsRowShown="0" headerRowDxfId="8" dataDxfId="0" headerRowBorderDxfId="10" tableBorderDxfId="11" totalsRowBorderDxfId="9">
  <autoFilter ref="A1:G6" xr:uid="{E3829172-5CD1-4516-996B-4C342DDC8388}"/>
  <tableColumns count="7">
    <tableColumn id="1" xr3:uid="{48255679-74E6-4E3F-AA78-2B1D888D14E3}" name="Coordination ID" dataDxfId="7"/>
    <tableColumn id="2" xr3:uid="{CA938029-79F3-4E51-A0E3-61093FB0F3AD}" name="Coordination Point" dataDxfId="6"/>
    <tableColumn id="3" xr3:uid="{FF6700CA-42E1-40C2-A3A6-06A0DE47BF15}" name="Purpose" dataDxfId="5"/>
    <tableColumn id="4" xr3:uid="{FE12FB81-6B84-4AD0-BB8B-3948B7DD1AEE}" name="Expected Information Flow" dataDxfId="4"/>
    <tableColumn id="5" xr3:uid="{54EA964A-CB78-4D75-A9A7-3464C44F73A7}" name="Evidence Status" dataDxfId="3"/>
    <tableColumn id="6" xr3:uid="{E46EE1F3-4265-4E25-BF43-08BDA0C97495}" name="Responsible" dataDxfId="2"/>
    <tableColumn id="7" xr3:uid="{7CAFF6A1-B860-483A-8E66-34B4F95A2DEA}" name="Priority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57A4-2555-4B98-A940-9BF651496E8A}">
  <dimension ref="A1:H18"/>
  <sheetViews>
    <sheetView showGridLines="0" tabSelected="1" workbookViewId="0">
      <selection activeCell="E20" sqref="E20"/>
    </sheetView>
  </sheetViews>
  <sheetFormatPr defaultRowHeight="14.25" x14ac:dyDescent="0.2"/>
  <cols>
    <col min="1" max="1" width="28" style="6" customWidth="1"/>
    <col min="2" max="2" width="48" style="6" customWidth="1"/>
    <col min="3" max="3" width="4" style="6" customWidth="1"/>
    <col min="4" max="4" width="25" style="6" customWidth="1"/>
    <col min="5" max="8" width="20" style="6" customWidth="1"/>
    <col min="9" max="16384" width="9.140625" style="6"/>
  </cols>
  <sheetData>
    <row r="1" spans="1:8" ht="20.25" x14ac:dyDescent="0.3">
      <c r="A1" s="31" t="s">
        <v>408</v>
      </c>
      <c r="B1" s="32"/>
      <c r="C1" s="32"/>
      <c r="D1" s="32"/>
      <c r="E1" s="32"/>
      <c r="F1" s="32"/>
      <c r="G1" s="32"/>
      <c r="H1" s="32"/>
    </row>
    <row r="3" spans="1:8" x14ac:dyDescent="0.2">
      <c r="A3" s="27" t="s">
        <v>102</v>
      </c>
      <c r="B3" s="5" t="s">
        <v>409</v>
      </c>
      <c r="C3" s="5"/>
      <c r="D3" s="5"/>
      <c r="E3" s="5"/>
      <c r="F3" s="5"/>
      <c r="G3" s="5"/>
      <c r="H3" s="5"/>
    </row>
    <row r="4" spans="1:8" x14ac:dyDescent="0.2">
      <c r="A4" s="27" t="s">
        <v>410</v>
      </c>
      <c r="B4" s="5" t="s">
        <v>411</v>
      </c>
      <c r="C4" s="5"/>
      <c r="D4" s="5"/>
      <c r="E4" s="5"/>
      <c r="F4" s="5"/>
      <c r="G4" s="5"/>
      <c r="H4" s="5"/>
    </row>
    <row r="5" spans="1:8" x14ac:dyDescent="0.2">
      <c r="A5" s="27" t="s">
        <v>412</v>
      </c>
      <c r="B5" s="5" t="s">
        <v>268</v>
      </c>
      <c r="C5" s="5"/>
      <c r="D5" s="5"/>
      <c r="E5" s="5"/>
      <c r="F5" s="5"/>
      <c r="G5" s="5"/>
      <c r="H5" s="5"/>
    </row>
    <row r="6" spans="1:8" x14ac:dyDescent="0.2">
      <c r="A6" s="27" t="s">
        <v>413</v>
      </c>
      <c r="B6" s="5" t="s">
        <v>414</v>
      </c>
      <c r="C6" s="5"/>
      <c r="D6" s="5"/>
      <c r="E6" s="5"/>
      <c r="F6" s="5"/>
      <c r="G6" s="5"/>
      <c r="H6" s="5"/>
    </row>
    <row r="7" spans="1:8" x14ac:dyDescent="0.2">
      <c r="A7" s="27" t="s">
        <v>415</v>
      </c>
      <c r="B7" s="5" t="s">
        <v>416</v>
      </c>
      <c r="C7" s="5"/>
      <c r="D7" s="5"/>
      <c r="E7" s="5"/>
      <c r="F7" s="5"/>
      <c r="G7" s="5"/>
      <c r="H7" s="5"/>
    </row>
    <row r="8" spans="1:8" x14ac:dyDescent="0.2">
      <c r="A8" s="27" t="s">
        <v>417</v>
      </c>
      <c r="B8" s="5" t="s">
        <v>418</v>
      </c>
      <c r="C8" s="5"/>
      <c r="D8" s="5"/>
      <c r="E8" s="5"/>
      <c r="F8" s="5"/>
      <c r="G8" s="5"/>
      <c r="H8" s="5"/>
    </row>
    <row r="10" spans="1:8" x14ac:dyDescent="0.2">
      <c r="A10" s="27" t="s">
        <v>419</v>
      </c>
      <c r="B10" s="28"/>
      <c r="D10" s="29" t="s">
        <v>420</v>
      </c>
      <c r="E10" s="30"/>
      <c r="F10" s="30"/>
      <c r="G10" s="30"/>
      <c r="H10" s="30"/>
    </row>
    <row r="11" spans="1:8" x14ac:dyDescent="0.2">
      <c r="A11" s="8" t="s">
        <v>421</v>
      </c>
      <c r="B11" s="9">
        <f>COUNTA('[1]Task Tracker'!A2:A1000)</f>
        <v>48</v>
      </c>
      <c r="D11" s="10" t="s">
        <v>422</v>
      </c>
      <c r="E11" s="7"/>
      <c r="F11" s="7"/>
      <c r="G11" s="7"/>
      <c r="H11" s="7"/>
    </row>
    <row r="12" spans="1:8" x14ac:dyDescent="0.2">
      <c r="A12" s="8" t="s">
        <v>198</v>
      </c>
      <c r="B12" s="9">
        <f>COUNTIF('[1]Task Tracker'!H:H,"Completed")</f>
        <v>2</v>
      </c>
      <c r="D12" s="7"/>
      <c r="E12" s="7"/>
      <c r="F12" s="7"/>
      <c r="G12" s="7"/>
      <c r="H12" s="7"/>
    </row>
    <row r="13" spans="1:8" x14ac:dyDescent="0.2">
      <c r="A13" s="8" t="s">
        <v>203</v>
      </c>
      <c r="B13" s="9">
        <f>COUNTIF('[1]Task Tracker'!H:H,"Planned")</f>
        <v>11</v>
      </c>
      <c r="D13" s="7"/>
      <c r="E13" s="7"/>
      <c r="F13" s="7"/>
      <c r="G13" s="7"/>
      <c r="H13" s="7"/>
    </row>
    <row r="14" spans="1:8" x14ac:dyDescent="0.2">
      <c r="A14" s="8" t="s">
        <v>327</v>
      </c>
      <c r="B14" s="9">
        <f>COUNTIF('[1]Task Tracker'!H:H,"Awaiting Workstream Update")</f>
        <v>35</v>
      </c>
      <c r="D14" s="7"/>
      <c r="E14" s="7"/>
      <c r="F14" s="7"/>
      <c r="G14" s="7"/>
      <c r="H14" s="7"/>
    </row>
    <row r="15" spans="1:8" x14ac:dyDescent="0.2">
      <c r="A15" s="8" t="s">
        <v>423</v>
      </c>
      <c r="B15" s="9">
        <f>COUNTIF('[1]Task Tracker'!E:E,"High")</f>
        <v>40</v>
      </c>
      <c r="D15" s="7"/>
      <c r="E15" s="7"/>
      <c r="F15" s="7"/>
      <c r="G15" s="7"/>
      <c r="H15" s="7"/>
    </row>
    <row r="16" spans="1:8" x14ac:dyDescent="0.2">
      <c r="A16" s="8" t="s">
        <v>424</v>
      </c>
      <c r="B16" s="9">
        <f>COUNTIF('[1]Risk Register'!J:J,"Open")</f>
        <v>14</v>
      </c>
    </row>
    <row r="17" spans="1:2" x14ac:dyDescent="0.2">
      <c r="A17" s="8" t="s">
        <v>425</v>
      </c>
      <c r="B17" s="9">
        <f>COUNTIF('[1]Dependency Register'!H:H,"Open")</f>
        <v>9</v>
      </c>
    </row>
    <row r="18" spans="1:2" x14ac:dyDescent="0.2">
      <c r="A18" s="8" t="s">
        <v>426</v>
      </c>
      <c r="B18" s="9">
        <f>COUNTIF('[1]Issues Log'!G:G,"Open")</f>
        <v>3</v>
      </c>
    </row>
  </sheetData>
  <mergeCells count="9">
    <mergeCell ref="B8:H8"/>
    <mergeCell ref="D10:H10"/>
    <mergeCell ref="D11:H15"/>
    <mergeCell ref="A1:H1"/>
    <mergeCell ref="B3:H3"/>
    <mergeCell ref="B4:H4"/>
    <mergeCell ref="B5:H5"/>
    <mergeCell ref="B6:H6"/>
    <mergeCell ref="B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DCEC9-6522-426D-8528-F3FF811ED82D}">
  <dimension ref="A1:I49"/>
  <sheetViews>
    <sheetView showGridLines="0" topLeftCell="A28" workbookViewId="0">
      <selection activeCell="G13" sqref="G13"/>
    </sheetView>
  </sheetViews>
  <sheetFormatPr defaultRowHeight="15" x14ac:dyDescent="0.25"/>
  <cols>
    <col min="1" max="1" width="11" customWidth="1"/>
    <col min="2" max="2" width="19.7109375" bestFit="1" customWidth="1"/>
    <col min="3" max="3" width="45.42578125" bestFit="1" customWidth="1"/>
    <col min="4" max="4" width="86.42578125" bestFit="1" customWidth="1"/>
    <col min="5" max="5" width="12" customWidth="1"/>
    <col min="6" max="6" width="27.5703125" bestFit="1" customWidth="1"/>
    <col min="7" max="7" width="25.42578125" customWidth="1"/>
    <col min="8" max="8" width="28.140625" bestFit="1" customWidth="1"/>
    <col min="9" max="9" width="36.5703125" bestFit="1" customWidth="1"/>
  </cols>
  <sheetData>
    <row r="1" spans="1:9" s="4" customFormat="1" x14ac:dyDescent="0.25">
      <c r="A1" s="1" t="s">
        <v>262</v>
      </c>
      <c r="B1" s="2" t="s">
        <v>263</v>
      </c>
      <c r="C1" s="2" t="s">
        <v>264</v>
      </c>
      <c r="D1" s="2" t="s">
        <v>265</v>
      </c>
      <c r="E1" s="2" t="s">
        <v>6</v>
      </c>
      <c r="F1" s="2" t="s">
        <v>78</v>
      </c>
      <c r="G1" s="2" t="s">
        <v>81</v>
      </c>
      <c r="H1" s="2" t="s">
        <v>39</v>
      </c>
      <c r="I1" s="3" t="s">
        <v>266</v>
      </c>
    </row>
    <row r="2" spans="1:9" x14ac:dyDescent="0.25">
      <c r="A2" s="16" t="s">
        <v>267</v>
      </c>
      <c r="B2" s="17" t="s">
        <v>268</v>
      </c>
      <c r="C2" s="17" t="s">
        <v>269</v>
      </c>
      <c r="D2" s="17" t="s">
        <v>270</v>
      </c>
      <c r="E2" s="17" t="s">
        <v>13</v>
      </c>
      <c r="F2" s="17" t="s">
        <v>271</v>
      </c>
      <c r="G2" s="17" t="s">
        <v>44</v>
      </c>
      <c r="H2" s="17" t="s">
        <v>198</v>
      </c>
      <c r="I2" s="18" t="s">
        <v>272</v>
      </c>
    </row>
    <row r="3" spans="1:9" x14ac:dyDescent="0.25">
      <c r="A3" s="16" t="s">
        <v>273</v>
      </c>
      <c r="B3" s="17" t="s">
        <v>268</v>
      </c>
      <c r="C3" s="17" t="s">
        <v>274</v>
      </c>
      <c r="D3" s="17" t="s">
        <v>275</v>
      </c>
      <c r="E3" s="17" t="s">
        <v>13</v>
      </c>
      <c r="F3" s="17" t="s">
        <v>267</v>
      </c>
      <c r="G3" s="17" t="s">
        <v>44</v>
      </c>
      <c r="H3" s="17" t="s">
        <v>198</v>
      </c>
      <c r="I3" s="18" t="s">
        <v>276</v>
      </c>
    </row>
    <row r="4" spans="1:9" x14ac:dyDescent="0.25">
      <c r="A4" s="16" t="s">
        <v>277</v>
      </c>
      <c r="B4" s="17" t="s">
        <v>268</v>
      </c>
      <c r="C4" s="17" t="s">
        <v>278</v>
      </c>
      <c r="D4" s="17" t="s">
        <v>279</v>
      </c>
      <c r="E4" s="17" t="s">
        <v>13</v>
      </c>
      <c r="F4" s="17" t="s">
        <v>273</v>
      </c>
      <c r="G4" s="17" t="s">
        <v>44</v>
      </c>
      <c r="H4" s="17" t="s">
        <v>203</v>
      </c>
      <c r="I4" s="18" t="s">
        <v>280</v>
      </c>
    </row>
    <row r="5" spans="1:9" x14ac:dyDescent="0.25">
      <c r="A5" s="16" t="s">
        <v>281</v>
      </c>
      <c r="B5" s="17" t="s">
        <v>268</v>
      </c>
      <c r="C5" s="17" t="s">
        <v>282</v>
      </c>
      <c r="D5" s="17" t="s">
        <v>283</v>
      </c>
      <c r="E5" s="17" t="s">
        <v>13</v>
      </c>
      <c r="F5" s="17" t="s">
        <v>273</v>
      </c>
      <c r="G5" s="17" t="s">
        <v>44</v>
      </c>
      <c r="H5" s="17" t="s">
        <v>203</v>
      </c>
      <c r="I5" s="18" t="s">
        <v>284</v>
      </c>
    </row>
    <row r="6" spans="1:9" x14ac:dyDescent="0.25">
      <c r="A6" s="16" t="s">
        <v>285</v>
      </c>
      <c r="B6" s="17" t="s">
        <v>268</v>
      </c>
      <c r="C6" s="17" t="s">
        <v>286</v>
      </c>
      <c r="D6" s="17" t="s">
        <v>287</v>
      </c>
      <c r="E6" s="17" t="s">
        <v>13</v>
      </c>
      <c r="F6" s="17" t="s">
        <v>273</v>
      </c>
      <c r="G6" s="17" t="s">
        <v>44</v>
      </c>
      <c r="H6" s="17" t="s">
        <v>203</v>
      </c>
      <c r="I6" s="18" t="s">
        <v>288</v>
      </c>
    </row>
    <row r="7" spans="1:9" x14ac:dyDescent="0.25">
      <c r="A7" s="16" t="s">
        <v>289</v>
      </c>
      <c r="B7" s="17" t="s">
        <v>268</v>
      </c>
      <c r="C7" s="17" t="s">
        <v>290</v>
      </c>
      <c r="D7" s="17" t="s">
        <v>291</v>
      </c>
      <c r="E7" s="17" t="s">
        <v>13</v>
      </c>
      <c r="F7" s="17" t="s">
        <v>273</v>
      </c>
      <c r="G7" s="17" t="s">
        <v>44</v>
      </c>
      <c r="H7" s="17" t="s">
        <v>203</v>
      </c>
      <c r="I7" s="18" t="s">
        <v>292</v>
      </c>
    </row>
    <row r="8" spans="1:9" x14ac:dyDescent="0.25">
      <c r="A8" s="16" t="s">
        <v>293</v>
      </c>
      <c r="B8" s="17" t="s">
        <v>268</v>
      </c>
      <c r="C8" s="17" t="s">
        <v>294</v>
      </c>
      <c r="D8" s="17" t="s">
        <v>295</v>
      </c>
      <c r="E8" s="17" t="s">
        <v>13</v>
      </c>
      <c r="F8" s="17" t="s">
        <v>296</v>
      </c>
      <c r="G8" s="17" t="s">
        <v>44</v>
      </c>
      <c r="H8" s="17" t="s">
        <v>203</v>
      </c>
      <c r="I8" s="18" t="s">
        <v>297</v>
      </c>
    </row>
    <row r="9" spans="1:9" x14ac:dyDescent="0.25">
      <c r="A9" s="16" t="s">
        <v>298</v>
      </c>
      <c r="B9" s="17" t="s">
        <v>268</v>
      </c>
      <c r="C9" s="17" t="s">
        <v>299</v>
      </c>
      <c r="D9" s="17" t="s">
        <v>300</v>
      </c>
      <c r="E9" s="17" t="s">
        <v>13</v>
      </c>
      <c r="F9" s="17" t="s">
        <v>301</v>
      </c>
      <c r="G9" s="17" t="s">
        <v>44</v>
      </c>
      <c r="H9" s="17" t="s">
        <v>203</v>
      </c>
      <c r="I9" s="18" t="s">
        <v>302</v>
      </c>
    </row>
    <row r="10" spans="1:9" x14ac:dyDescent="0.25">
      <c r="A10" s="16" t="s">
        <v>303</v>
      </c>
      <c r="B10" s="17" t="s">
        <v>268</v>
      </c>
      <c r="C10" s="17" t="s">
        <v>304</v>
      </c>
      <c r="D10" s="17" t="s">
        <v>305</v>
      </c>
      <c r="E10" s="17" t="s">
        <v>65</v>
      </c>
      <c r="F10" s="17" t="s">
        <v>293</v>
      </c>
      <c r="G10" s="17" t="s">
        <v>44</v>
      </c>
      <c r="H10" s="17" t="s">
        <v>203</v>
      </c>
      <c r="I10" s="18" t="s">
        <v>306</v>
      </c>
    </row>
    <row r="11" spans="1:9" x14ac:dyDescent="0.25">
      <c r="A11" s="16" t="s">
        <v>307</v>
      </c>
      <c r="B11" s="17" t="s">
        <v>268</v>
      </c>
      <c r="C11" s="17" t="s">
        <v>308</v>
      </c>
      <c r="D11" s="17" t="s">
        <v>309</v>
      </c>
      <c r="E11" s="17" t="s">
        <v>13</v>
      </c>
      <c r="F11" s="17" t="s">
        <v>277</v>
      </c>
      <c r="G11" s="17" t="s">
        <v>44</v>
      </c>
      <c r="H11" s="17" t="s">
        <v>203</v>
      </c>
      <c r="I11" s="18" t="s">
        <v>310</v>
      </c>
    </row>
    <row r="12" spans="1:9" x14ac:dyDescent="0.25">
      <c r="A12" s="16" t="s">
        <v>311</v>
      </c>
      <c r="B12" s="17" t="s">
        <v>268</v>
      </c>
      <c r="C12" s="17" t="s">
        <v>312</v>
      </c>
      <c r="D12" s="17" t="s">
        <v>313</v>
      </c>
      <c r="E12" s="17" t="s">
        <v>13</v>
      </c>
      <c r="F12" s="17" t="s">
        <v>285</v>
      </c>
      <c r="G12" s="17" t="s">
        <v>44</v>
      </c>
      <c r="H12" s="17" t="s">
        <v>203</v>
      </c>
      <c r="I12" s="18" t="s">
        <v>314</v>
      </c>
    </row>
    <row r="13" spans="1:9" x14ac:dyDescent="0.25">
      <c r="A13" s="16" t="s">
        <v>315</v>
      </c>
      <c r="B13" s="17" t="s">
        <v>268</v>
      </c>
      <c r="C13" s="17" t="s">
        <v>316</v>
      </c>
      <c r="D13" s="17" t="s">
        <v>317</v>
      </c>
      <c r="E13" s="17" t="s">
        <v>65</v>
      </c>
      <c r="F13" s="17" t="s">
        <v>285</v>
      </c>
      <c r="G13" s="17" t="s">
        <v>44</v>
      </c>
      <c r="H13" s="17" t="s">
        <v>203</v>
      </c>
      <c r="I13" s="18" t="s">
        <v>318</v>
      </c>
    </row>
    <row r="14" spans="1:9" x14ac:dyDescent="0.25">
      <c r="A14" s="16" t="s">
        <v>319</v>
      </c>
      <c r="B14" s="17" t="s">
        <v>268</v>
      </c>
      <c r="C14" s="17" t="s">
        <v>320</v>
      </c>
      <c r="D14" s="17" t="s">
        <v>321</v>
      </c>
      <c r="E14" s="17" t="s">
        <v>13</v>
      </c>
      <c r="F14" s="17" t="s">
        <v>311</v>
      </c>
      <c r="G14" s="17" t="s">
        <v>44</v>
      </c>
      <c r="H14" s="17" t="s">
        <v>203</v>
      </c>
      <c r="I14" s="18" t="s">
        <v>322</v>
      </c>
    </row>
    <row r="15" spans="1:9" x14ac:dyDescent="0.25">
      <c r="A15" s="16" t="s">
        <v>323</v>
      </c>
      <c r="B15" s="17" t="s">
        <v>324</v>
      </c>
      <c r="C15" s="17" t="s">
        <v>325</v>
      </c>
      <c r="D15" s="17" t="s">
        <v>325</v>
      </c>
      <c r="E15" s="17" t="s">
        <v>13</v>
      </c>
      <c r="F15" s="17" t="s">
        <v>326</v>
      </c>
      <c r="G15" s="17" t="s">
        <v>324</v>
      </c>
      <c r="H15" s="17" t="s">
        <v>327</v>
      </c>
      <c r="I15" s="18" t="s">
        <v>328</v>
      </c>
    </row>
    <row r="16" spans="1:9" x14ac:dyDescent="0.25">
      <c r="A16" s="16" t="s">
        <v>329</v>
      </c>
      <c r="B16" s="17" t="s">
        <v>324</v>
      </c>
      <c r="C16" s="17" t="s">
        <v>330</v>
      </c>
      <c r="D16" s="17" t="s">
        <v>330</v>
      </c>
      <c r="E16" s="17" t="s">
        <v>13</v>
      </c>
      <c r="F16" s="17" t="s">
        <v>323</v>
      </c>
      <c r="G16" s="17" t="s">
        <v>324</v>
      </c>
      <c r="H16" s="17" t="s">
        <v>327</v>
      </c>
      <c r="I16" s="18" t="s">
        <v>328</v>
      </c>
    </row>
    <row r="17" spans="1:9" x14ac:dyDescent="0.25">
      <c r="A17" s="16" t="s">
        <v>331</v>
      </c>
      <c r="B17" s="17" t="s">
        <v>324</v>
      </c>
      <c r="C17" s="17" t="s">
        <v>332</v>
      </c>
      <c r="D17" s="17" t="s">
        <v>332</v>
      </c>
      <c r="E17" s="17" t="s">
        <v>13</v>
      </c>
      <c r="F17" s="17" t="s">
        <v>323</v>
      </c>
      <c r="G17" s="17" t="s">
        <v>324</v>
      </c>
      <c r="H17" s="17" t="s">
        <v>327</v>
      </c>
      <c r="I17" s="18" t="s">
        <v>328</v>
      </c>
    </row>
    <row r="18" spans="1:9" x14ac:dyDescent="0.25">
      <c r="A18" s="16" t="s">
        <v>333</v>
      </c>
      <c r="B18" s="17" t="s">
        <v>324</v>
      </c>
      <c r="C18" s="17" t="s">
        <v>334</v>
      </c>
      <c r="D18" s="17" t="s">
        <v>334</v>
      </c>
      <c r="E18" s="17" t="s">
        <v>13</v>
      </c>
      <c r="F18" s="17" t="s">
        <v>335</v>
      </c>
      <c r="G18" s="17" t="s">
        <v>324</v>
      </c>
      <c r="H18" s="17" t="s">
        <v>327</v>
      </c>
      <c r="I18" s="18" t="s">
        <v>328</v>
      </c>
    </row>
    <row r="19" spans="1:9" x14ac:dyDescent="0.25">
      <c r="A19" s="16" t="s">
        <v>336</v>
      </c>
      <c r="B19" s="17" t="s">
        <v>324</v>
      </c>
      <c r="C19" s="17" t="s">
        <v>337</v>
      </c>
      <c r="D19" s="17" t="s">
        <v>337</v>
      </c>
      <c r="E19" s="17" t="s">
        <v>13</v>
      </c>
      <c r="F19" s="17" t="s">
        <v>333</v>
      </c>
      <c r="G19" s="17" t="s">
        <v>324</v>
      </c>
      <c r="H19" s="17" t="s">
        <v>327</v>
      </c>
      <c r="I19" s="18" t="s">
        <v>328</v>
      </c>
    </row>
    <row r="20" spans="1:9" x14ac:dyDescent="0.25">
      <c r="A20" s="16" t="s">
        <v>338</v>
      </c>
      <c r="B20" s="17" t="s">
        <v>324</v>
      </c>
      <c r="C20" s="17" t="s">
        <v>339</v>
      </c>
      <c r="D20" s="17" t="s">
        <v>339</v>
      </c>
      <c r="E20" s="17" t="s">
        <v>13</v>
      </c>
      <c r="F20" s="17" t="s">
        <v>340</v>
      </c>
      <c r="G20" s="17" t="s">
        <v>324</v>
      </c>
      <c r="H20" s="17" t="s">
        <v>327</v>
      </c>
      <c r="I20" s="18" t="s">
        <v>328</v>
      </c>
    </row>
    <row r="21" spans="1:9" x14ac:dyDescent="0.25">
      <c r="A21" s="16" t="s">
        <v>341</v>
      </c>
      <c r="B21" s="17" t="s">
        <v>324</v>
      </c>
      <c r="C21" s="17" t="s">
        <v>342</v>
      </c>
      <c r="D21" s="17" t="s">
        <v>342</v>
      </c>
      <c r="E21" s="17" t="s">
        <v>13</v>
      </c>
      <c r="F21" s="17" t="s">
        <v>343</v>
      </c>
      <c r="G21" s="17" t="s">
        <v>324</v>
      </c>
      <c r="H21" s="17" t="s">
        <v>327</v>
      </c>
      <c r="I21" s="18" t="s">
        <v>328</v>
      </c>
    </row>
    <row r="22" spans="1:9" x14ac:dyDescent="0.25">
      <c r="A22" s="16" t="s">
        <v>344</v>
      </c>
      <c r="B22" s="17" t="s">
        <v>324</v>
      </c>
      <c r="C22" s="17" t="s">
        <v>345</v>
      </c>
      <c r="D22" s="17" t="s">
        <v>345</v>
      </c>
      <c r="E22" s="17" t="s">
        <v>65</v>
      </c>
      <c r="F22" s="17" t="s">
        <v>341</v>
      </c>
      <c r="G22" s="17" t="s">
        <v>324</v>
      </c>
      <c r="H22" s="17" t="s">
        <v>327</v>
      </c>
      <c r="I22" s="18" t="s">
        <v>328</v>
      </c>
    </row>
    <row r="23" spans="1:9" x14ac:dyDescent="0.25">
      <c r="A23" s="16" t="s">
        <v>346</v>
      </c>
      <c r="B23" s="17" t="s">
        <v>347</v>
      </c>
      <c r="C23" s="17" t="s">
        <v>348</v>
      </c>
      <c r="D23" s="17" t="s">
        <v>348</v>
      </c>
      <c r="E23" s="17" t="s">
        <v>13</v>
      </c>
      <c r="F23" s="17" t="s">
        <v>349</v>
      </c>
      <c r="G23" s="17" t="s">
        <v>347</v>
      </c>
      <c r="H23" s="17" t="s">
        <v>327</v>
      </c>
      <c r="I23" s="18" t="s">
        <v>328</v>
      </c>
    </row>
    <row r="24" spans="1:9" x14ac:dyDescent="0.25">
      <c r="A24" s="16" t="s">
        <v>350</v>
      </c>
      <c r="B24" s="17" t="s">
        <v>347</v>
      </c>
      <c r="C24" s="17" t="s">
        <v>351</v>
      </c>
      <c r="D24" s="17" t="s">
        <v>351</v>
      </c>
      <c r="E24" s="17" t="s">
        <v>13</v>
      </c>
      <c r="F24" s="17" t="s">
        <v>326</v>
      </c>
      <c r="G24" s="17" t="s">
        <v>347</v>
      </c>
      <c r="H24" s="17" t="s">
        <v>327</v>
      </c>
      <c r="I24" s="18" t="s">
        <v>328</v>
      </c>
    </row>
    <row r="25" spans="1:9" x14ac:dyDescent="0.25">
      <c r="A25" s="16" t="s">
        <v>352</v>
      </c>
      <c r="B25" s="17" t="s">
        <v>347</v>
      </c>
      <c r="C25" s="17" t="s">
        <v>353</v>
      </c>
      <c r="D25" s="17" t="s">
        <v>353</v>
      </c>
      <c r="E25" s="17" t="s">
        <v>13</v>
      </c>
      <c r="F25" s="17" t="s">
        <v>350</v>
      </c>
      <c r="G25" s="17" t="s">
        <v>347</v>
      </c>
      <c r="H25" s="17" t="s">
        <v>327</v>
      </c>
      <c r="I25" s="18" t="s">
        <v>328</v>
      </c>
    </row>
    <row r="26" spans="1:9" x14ac:dyDescent="0.25">
      <c r="A26" s="16" t="s">
        <v>354</v>
      </c>
      <c r="B26" s="17" t="s">
        <v>347</v>
      </c>
      <c r="C26" s="17" t="s">
        <v>355</v>
      </c>
      <c r="D26" s="17" t="s">
        <v>355</v>
      </c>
      <c r="E26" s="17" t="s">
        <v>13</v>
      </c>
      <c r="F26" s="17" t="s">
        <v>350</v>
      </c>
      <c r="G26" s="17" t="s">
        <v>347</v>
      </c>
      <c r="H26" s="17" t="s">
        <v>327</v>
      </c>
      <c r="I26" s="18" t="s">
        <v>328</v>
      </c>
    </row>
    <row r="27" spans="1:9" x14ac:dyDescent="0.25">
      <c r="A27" s="16" t="s">
        <v>356</v>
      </c>
      <c r="B27" s="17" t="s">
        <v>347</v>
      </c>
      <c r="C27" s="17" t="s">
        <v>357</v>
      </c>
      <c r="D27" s="17" t="s">
        <v>357</v>
      </c>
      <c r="E27" s="17" t="s">
        <v>13</v>
      </c>
      <c r="F27" s="17" t="s">
        <v>352</v>
      </c>
      <c r="G27" s="17" t="s">
        <v>347</v>
      </c>
      <c r="H27" s="17" t="s">
        <v>327</v>
      </c>
      <c r="I27" s="18" t="s">
        <v>328</v>
      </c>
    </row>
    <row r="28" spans="1:9" x14ac:dyDescent="0.25">
      <c r="A28" s="16" t="s">
        <v>358</v>
      </c>
      <c r="B28" s="17" t="s">
        <v>347</v>
      </c>
      <c r="C28" s="17" t="s">
        <v>359</v>
      </c>
      <c r="D28" s="17" t="s">
        <v>359</v>
      </c>
      <c r="E28" s="17" t="s">
        <v>13</v>
      </c>
      <c r="F28" s="17" t="s">
        <v>356</v>
      </c>
      <c r="G28" s="17" t="s">
        <v>347</v>
      </c>
      <c r="H28" s="17" t="s">
        <v>327</v>
      </c>
      <c r="I28" s="18" t="s">
        <v>328</v>
      </c>
    </row>
    <row r="29" spans="1:9" x14ac:dyDescent="0.25">
      <c r="A29" s="16" t="s">
        <v>360</v>
      </c>
      <c r="B29" s="17" t="s">
        <v>347</v>
      </c>
      <c r="C29" s="17" t="s">
        <v>361</v>
      </c>
      <c r="D29" s="17" t="s">
        <v>361</v>
      </c>
      <c r="E29" s="17" t="s">
        <v>13</v>
      </c>
      <c r="F29" s="17" t="s">
        <v>358</v>
      </c>
      <c r="G29" s="17" t="s">
        <v>347</v>
      </c>
      <c r="H29" s="17" t="s">
        <v>327</v>
      </c>
      <c r="I29" s="18" t="s">
        <v>328</v>
      </c>
    </row>
    <row r="30" spans="1:9" x14ac:dyDescent="0.25">
      <c r="A30" s="16" t="s">
        <v>362</v>
      </c>
      <c r="B30" s="17" t="s">
        <v>347</v>
      </c>
      <c r="C30" s="17" t="s">
        <v>363</v>
      </c>
      <c r="D30" s="17" t="s">
        <v>363</v>
      </c>
      <c r="E30" s="17" t="s">
        <v>13</v>
      </c>
      <c r="F30" s="17" t="s">
        <v>360</v>
      </c>
      <c r="G30" s="17" t="s">
        <v>347</v>
      </c>
      <c r="H30" s="17" t="s">
        <v>327</v>
      </c>
      <c r="I30" s="18" t="s">
        <v>328</v>
      </c>
    </row>
    <row r="31" spans="1:9" x14ac:dyDescent="0.25">
      <c r="A31" s="16" t="s">
        <v>364</v>
      </c>
      <c r="B31" s="17" t="s">
        <v>347</v>
      </c>
      <c r="C31" s="17" t="s">
        <v>365</v>
      </c>
      <c r="D31" s="17" t="s">
        <v>365</v>
      </c>
      <c r="E31" s="17" t="s">
        <v>65</v>
      </c>
      <c r="F31" s="17" t="s">
        <v>362</v>
      </c>
      <c r="G31" s="17" t="s">
        <v>347</v>
      </c>
      <c r="H31" s="17" t="s">
        <v>327</v>
      </c>
      <c r="I31" s="18" t="s">
        <v>328</v>
      </c>
    </row>
    <row r="32" spans="1:9" x14ac:dyDescent="0.25">
      <c r="A32" s="16" t="s">
        <v>366</v>
      </c>
      <c r="B32" s="17" t="s">
        <v>367</v>
      </c>
      <c r="C32" s="17" t="s">
        <v>368</v>
      </c>
      <c r="D32" s="17" t="s">
        <v>368</v>
      </c>
      <c r="E32" s="17" t="s">
        <v>13</v>
      </c>
      <c r="F32" s="17" t="s">
        <v>369</v>
      </c>
      <c r="G32" s="17" t="s">
        <v>367</v>
      </c>
      <c r="H32" s="17" t="s">
        <v>327</v>
      </c>
      <c r="I32" s="18" t="s">
        <v>328</v>
      </c>
    </row>
    <row r="33" spans="1:9" x14ac:dyDescent="0.25">
      <c r="A33" s="16" t="s">
        <v>370</v>
      </c>
      <c r="B33" s="17" t="s">
        <v>367</v>
      </c>
      <c r="C33" s="17" t="s">
        <v>371</v>
      </c>
      <c r="D33" s="17" t="s">
        <v>371</v>
      </c>
      <c r="E33" s="17" t="s">
        <v>13</v>
      </c>
      <c r="F33" s="17" t="s">
        <v>366</v>
      </c>
      <c r="G33" s="17" t="s">
        <v>367</v>
      </c>
      <c r="H33" s="17" t="s">
        <v>327</v>
      </c>
      <c r="I33" s="18" t="s">
        <v>328</v>
      </c>
    </row>
    <row r="34" spans="1:9" x14ac:dyDescent="0.25">
      <c r="A34" s="16" t="s">
        <v>372</v>
      </c>
      <c r="B34" s="17" t="s">
        <v>367</v>
      </c>
      <c r="C34" s="17" t="s">
        <v>373</v>
      </c>
      <c r="D34" s="17" t="s">
        <v>373</v>
      </c>
      <c r="E34" s="17" t="s">
        <v>13</v>
      </c>
      <c r="F34" s="17" t="s">
        <v>370</v>
      </c>
      <c r="G34" s="17" t="s">
        <v>367</v>
      </c>
      <c r="H34" s="17" t="s">
        <v>327</v>
      </c>
      <c r="I34" s="18" t="s">
        <v>328</v>
      </c>
    </row>
    <row r="35" spans="1:9" x14ac:dyDescent="0.25">
      <c r="A35" s="16" t="s">
        <v>374</v>
      </c>
      <c r="B35" s="17" t="s">
        <v>367</v>
      </c>
      <c r="C35" s="17" t="s">
        <v>375</v>
      </c>
      <c r="D35" s="17" t="s">
        <v>375</v>
      </c>
      <c r="E35" s="17" t="s">
        <v>65</v>
      </c>
      <c r="F35" s="17" t="s">
        <v>372</v>
      </c>
      <c r="G35" s="17" t="s">
        <v>367</v>
      </c>
      <c r="H35" s="17" t="s">
        <v>327</v>
      </c>
      <c r="I35" s="18" t="s">
        <v>328</v>
      </c>
    </row>
    <row r="36" spans="1:9" x14ac:dyDescent="0.25">
      <c r="A36" s="16" t="s">
        <v>376</v>
      </c>
      <c r="B36" s="17" t="s">
        <v>367</v>
      </c>
      <c r="C36" s="17" t="s">
        <v>377</v>
      </c>
      <c r="D36" s="17" t="s">
        <v>377</v>
      </c>
      <c r="E36" s="17" t="s">
        <v>13</v>
      </c>
      <c r="F36" s="17" t="s">
        <v>372</v>
      </c>
      <c r="G36" s="17" t="s">
        <v>367</v>
      </c>
      <c r="H36" s="17" t="s">
        <v>327</v>
      </c>
      <c r="I36" s="18" t="s">
        <v>328</v>
      </c>
    </row>
    <row r="37" spans="1:9" x14ac:dyDescent="0.25">
      <c r="A37" s="16" t="s">
        <v>378</v>
      </c>
      <c r="B37" s="17" t="s">
        <v>367</v>
      </c>
      <c r="C37" s="17" t="s">
        <v>379</v>
      </c>
      <c r="D37" s="17" t="s">
        <v>379</v>
      </c>
      <c r="E37" s="17" t="s">
        <v>65</v>
      </c>
      <c r="F37" s="17" t="s">
        <v>370</v>
      </c>
      <c r="G37" s="17" t="s">
        <v>367</v>
      </c>
      <c r="H37" s="17" t="s">
        <v>327</v>
      </c>
      <c r="I37" s="18" t="s">
        <v>328</v>
      </c>
    </row>
    <row r="38" spans="1:9" x14ac:dyDescent="0.25">
      <c r="A38" s="16" t="s">
        <v>380</v>
      </c>
      <c r="B38" s="17" t="s">
        <v>367</v>
      </c>
      <c r="C38" s="17" t="s">
        <v>381</v>
      </c>
      <c r="D38" s="17" t="s">
        <v>381</v>
      </c>
      <c r="E38" s="17" t="s">
        <v>65</v>
      </c>
      <c r="F38" s="17" t="s">
        <v>372</v>
      </c>
      <c r="G38" s="17" t="s">
        <v>367</v>
      </c>
      <c r="H38" s="17" t="s">
        <v>327</v>
      </c>
      <c r="I38" s="18" t="s">
        <v>328</v>
      </c>
    </row>
    <row r="39" spans="1:9" x14ac:dyDescent="0.25">
      <c r="A39" s="16" t="s">
        <v>382</v>
      </c>
      <c r="B39" s="17" t="s">
        <v>367</v>
      </c>
      <c r="C39" s="17" t="s">
        <v>383</v>
      </c>
      <c r="D39" s="17" t="s">
        <v>383</v>
      </c>
      <c r="E39" s="17" t="s">
        <v>13</v>
      </c>
      <c r="F39" s="17" t="s">
        <v>384</v>
      </c>
      <c r="G39" s="17" t="s">
        <v>367</v>
      </c>
      <c r="H39" s="17" t="s">
        <v>327</v>
      </c>
      <c r="I39" s="18" t="s">
        <v>328</v>
      </c>
    </row>
    <row r="40" spans="1:9" x14ac:dyDescent="0.25">
      <c r="A40" s="16" t="s">
        <v>385</v>
      </c>
      <c r="B40" s="17" t="s">
        <v>97</v>
      </c>
      <c r="C40" s="17" t="s">
        <v>386</v>
      </c>
      <c r="D40" s="17" t="s">
        <v>386</v>
      </c>
      <c r="E40" s="17" t="s">
        <v>13</v>
      </c>
      <c r="F40" s="17" t="s">
        <v>387</v>
      </c>
      <c r="G40" s="17" t="s">
        <v>97</v>
      </c>
      <c r="H40" s="17" t="s">
        <v>327</v>
      </c>
      <c r="I40" s="18" t="s">
        <v>328</v>
      </c>
    </row>
    <row r="41" spans="1:9" x14ac:dyDescent="0.25">
      <c r="A41" s="16" t="s">
        <v>388</v>
      </c>
      <c r="B41" s="17" t="s">
        <v>97</v>
      </c>
      <c r="C41" s="17" t="s">
        <v>389</v>
      </c>
      <c r="D41" s="17" t="s">
        <v>389</v>
      </c>
      <c r="E41" s="17" t="s">
        <v>13</v>
      </c>
      <c r="F41" s="17" t="s">
        <v>390</v>
      </c>
      <c r="G41" s="17" t="s">
        <v>97</v>
      </c>
      <c r="H41" s="17" t="s">
        <v>327</v>
      </c>
      <c r="I41" s="18" t="s">
        <v>328</v>
      </c>
    </row>
    <row r="42" spans="1:9" x14ac:dyDescent="0.25">
      <c r="A42" s="16" t="s">
        <v>391</v>
      </c>
      <c r="B42" s="17" t="s">
        <v>97</v>
      </c>
      <c r="C42" s="17" t="s">
        <v>392</v>
      </c>
      <c r="D42" s="17" t="s">
        <v>392</v>
      </c>
      <c r="E42" s="17" t="s">
        <v>13</v>
      </c>
      <c r="F42" s="17" t="s">
        <v>388</v>
      </c>
      <c r="G42" s="17" t="s">
        <v>97</v>
      </c>
      <c r="H42" s="17" t="s">
        <v>327</v>
      </c>
      <c r="I42" s="18" t="s">
        <v>328</v>
      </c>
    </row>
    <row r="43" spans="1:9" x14ac:dyDescent="0.25">
      <c r="A43" s="16" t="s">
        <v>393</v>
      </c>
      <c r="B43" s="17" t="s">
        <v>97</v>
      </c>
      <c r="C43" s="17" t="s">
        <v>394</v>
      </c>
      <c r="D43" s="17" t="s">
        <v>394</v>
      </c>
      <c r="E43" s="17" t="s">
        <v>13</v>
      </c>
      <c r="F43" s="17" t="s">
        <v>388</v>
      </c>
      <c r="G43" s="17" t="s">
        <v>97</v>
      </c>
      <c r="H43" s="17" t="s">
        <v>327</v>
      </c>
      <c r="I43" s="18" t="s">
        <v>328</v>
      </c>
    </row>
    <row r="44" spans="1:9" x14ac:dyDescent="0.25">
      <c r="A44" s="16" t="s">
        <v>395</v>
      </c>
      <c r="B44" s="17" t="s">
        <v>97</v>
      </c>
      <c r="C44" s="17" t="s">
        <v>396</v>
      </c>
      <c r="D44" s="17" t="s">
        <v>396</v>
      </c>
      <c r="E44" s="17" t="s">
        <v>13</v>
      </c>
      <c r="F44" s="17" t="s">
        <v>393</v>
      </c>
      <c r="G44" s="17" t="s">
        <v>97</v>
      </c>
      <c r="H44" s="17" t="s">
        <v>327</v>
      </c>
      <c r="I44" s="18" t="s">
        <v>328</v>
      </c>
    </row>
    <row r="45" spans="1:9" x14ac:dyDescent="0.25">
      <c r="A45" s="16" t="s">
        <v>397</v>
      </c>
      <c r="B45" s="17" t="s">
        <v>97</v>
      </c>
      <c r="C45" s="17" t="s">
        <v>398</v>
      </c>
      <c r="D45" s="17" t="s">
        <v>398</v>
      </c>
      <c r="E45" s="17" t="s">
        <v>13</v>
      </c>
      <c r="F45" s="17" t="s">
        <v>393</v>
      </c>
      <c r="G45" s="17" t="s">
        <v>97</v>
      </c>
      <c r="H45" s="17" t="s">
        <v>327</v>
      </c>
      <c r="I45" s="18" t="s">
        <v>328</v>
      </c>
    </row>
    <row r="46" spans="1:9" x14ac:dyDescent="0.25">
      <c r="A46" s="16" t="s">
        <v>399</v>
      </c>
      <c r="B46" s="17" t="s">
        <v>97</v>
      </c>
      <c r="C46" s="17" t="s">
        <v>400</v>
      </c>
      <c r="D46" s="17" t="s">
        <v>400</v>
      </c>
      <c r="E46" s="17" t="s">
        <v>13</v>
      </c>
      <c r="F46" s="17" t="s">
        <v>393</v>
      </c>
      <c r="G46" s="17" t="s">
        <v>97</v>
      </c>
      <c r="H46" s="17" t="s">
        <v>327</v>
      </c>
      <c r="I46" s="18" t="s">
        <v>328</v>
      </c>
    </row>
    <row r="47" spans="1:9" x14ac:dyDescent="0.25">
      <c r="A47" s="16" t="s">
        <v>401</v>
      </c>
      <c r="B47" s="17" t="s">
        <v>97</v>
      </c>
      <c r="C47" s="17" t="s">
        <v>402</v>
      </c>
      <c r="D47" s="17" t="s">
        <v>402</v>
      </c>
      <c r="E47" s="17" t="s">
        <v>13</v>
      </c>
      <c r="F47" s="17" t="s">
        <v>393</v>
      </c>
      <c r="G47" s="17" t="s">
        <v>97</v>
      </c>
      <c r="H47" s="17" t="s">
        <v>327</v>
      </c>
      <c r="I47" s="18" t="s">
        <v>328</v>
      </c>
    </row>
    <row r="48" spans="1:9" x14ac:dyDescent="0.25">
      <c r="A48" s="16" t="s">
        <v>403</v>
      </c>
      <c r="B48" s="17" t="s">
        <v>97</v>
      </c>
      <c r="C48" s="17" t="s">
        <v>404</v>
      </c>
      <c r="D48" s="17" t="s">
        <v>404</v>
      </c>
      <c r="E48" s="17" t="s">
        <v>13</v>
      </c>
      <c r="F48" s="17" t="s">
        <v>405</v>
      </c>
      <c r="G48" s="17" t="s">
        <v>97</v>
      </c>
      <c r="H48" s="17" t="s">
        <v>327</v>
      </c>
      <c r="I48" s="18" t="s">
        <v>328</v>
      </c>
    </row>
    <row r="49" spans="1:9" x14ac:dyDescent="0.25">
      <c r="A49" s="19" t="s">
        <v>406</v>
      </c>
      <c r="B49" s="20" t="s">
        <v>97</v>
      </c>
      <c r="C49" s="20" t="s">
        <v>407</v>
      </c>
      <c r="D49" s="20" t="s">
        <v>407</v>
      </c>
      <c r="E49" s="20" t="s">
        <v>65</v>
      </c>
      <c r="F49" s="20" t="s">
        <v>403</v>
      </c>
      <c r="G49" s="20" t="s">
        <v>97</v>
      </c>
      <c r="H49" s="20" t="s">
        <v>327</v>
      </c>
      <c r="I49" s="21" t="s">
        <v>328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D9F5-0599-4377-B4D8-63094959D9F0}">
  <dimension ref="A1:H6"/>
  <sheetViews>
    <sheetView showGridLines="0" workbookViewId="0">
      <selection activeCell="C4" sqref="C4"/>
    </sheetView>
  </sheetViews>
  <sheetFormatPr defaultRowHeight="14.25" x14ac:dyDescent="0.2"/>
  <cols>
    <col min="1" max="1" width="10" style="6" customWidth="1"/>
    <col min="2" max="2" width="24.85546875" style="6" bestFit="1" customWidth="1"/>
    <col min="3" max="3" width="49.85546875" style="6" bestFit="1" customWidth="1"/>
    <col min="4" max="4" width="30" style="6" customWidth="1"/>
    <col min="5" max="7" width="12" style="6" customWidth="1"/>
    <col min="8" max="8" width="18" style="6" customWidth="1"/>
    <col min="9" max="16384" width="9.140625" style="6"/>
  </cols>
  <sheetData>
    <row r="1" spans="1:8" s="15" customFormat="1" x14ac:dyDescent="0.2">
      <c r="A1" s="12" t="s">
        <v>192</v>
      </c>
      <c r="B1" s="13" t="s">
        <v>253</v>
      </c>
      <c r="C1" s="13" t="s">
        <v>254</v>
      </c>
      <c r="D1" s="13" t="s">
        <v>81</v>
      </c>
      <c r="E1" s="13" t="s">
        <v>194</v>
      </c>
      <c r="F1" s="13" t="s">
        <v>195</v>
      </c>
      <c r="G1" s="13" t="s">
        <v>6</v>
      </c>
      <c r="H1" s="14" t="s">
        <v>39</v>
      </c>
    </row>
    <row r="2" spans="1:8" x14ac:dyDescent="0.2">
      <c r="A2" s="16" t="s">
        <v>196</v>
      </c>
      <c r="B2" s="17" t="s">
        <v>197</v>
      </c>
      <c r="C2" s="17" t="s">
        <v>255</v>
      </c>
      <c r="D2" s="17" t="s">
        <v>44</v>
      </c>
      <c r="E2" s="17" t="s">
        <v>142</v>
      </c>
      <c r="F2" s="17" t="s">
        <v>43</v>
      </c>
      <c r="G2" s="17" t="s">
        <v>13</v>
      </c>
      <c r="H2" s="18" t="s">
        <v>198</v>
      </c>
    </row>
    <row r="3" spans="1:8" x14ac:dyDescent="0.2">
      <c r="A3" s="16" t="s">
        <v>206</v>
      </c>
      <c r="B3" s="17" t="s">
        <v>256</v>
      </c>
      <c r="C3" s="17" t="s">
        <v>257</v>
      </c>
      <c r="D3" s="17" t="s">
        <v>115</v>
      </c>
      <c r="E3" s="17" t="s">
        <v>43</v>
      </c>
      <c r="F3" s="17" t="s">
        <v>208</v>
      </c>
      <c r="G3" s="17" t="s">
        <v>13</v>
      </c>
      <c r="H3" s="18" t="s">
        <v>203</v>
      </c>
    </row>
    <row r="4" spans="1:8" x14ac:dyDescent="0.2">
      <c r="A4" s="16" t="s">
        <v>219</v>
      </c>
      <c r="B4" s="17" t="s">
        <v>107</v>
      </c>
      <c r="C4" s="17" t="s">
        <v>258</v>
      </c>
      <c r="D4" s="17" t="s">
        <v>115</v>
      </c>
      <c r="E4" s="17" t="s">
        <v>220</v>
      </c>
      <c r="F4" s="17" t="s">
        <v>221</v>
      </c>
      <c r="G4" s="17" t="s">
        <v>13</v>
      </c>
      <c r="H4" s="18" t="s">
        <v>203</v>
      </c>
    </row>
    <row r="5" spans="1:8" x14ac:dyDescent="0.2">
      <c r="A5" s="16" t="s">
        <v>233</v>
      </c>
      <c r="B5" s="17" t="s">
        <v>259</v>
      </c>
      <c r="C5" s="17" t="s">
        <v>260</v>
      </c>
      <c r="D5" s="17" t="s">
        <v>115</v>
      </c>
      <c r="E5" s="17" t="s">
        <v>235</v>
      </c>
      <c r="F5" s="17" t="s">
        <v>236</v>
      </c>
      <c r="G5" s="17" t="s">
        <v>13</v>
      </c>
      <c r="H5" s="18" t="s">
        <v>203</v>
      </c>
    </row>
    <row r="6" spans="1:8" x14ac:dyDescent="0.2">
      <c r="A6" s="19" t="s">
        <v>245</v>
      </c>
      <c r="B6" s="20" t="s">
        <v>246</v>
      </c>
      <c r="C6" s="20" t="s">
        <v>261</v>
      </c>
      <c r="D6" s="20" t="s">
        <v>115</v>
      </c>
      <c r="E6" s="20" t="s">
        <v>247</v>
      </c>
      <c r="F6" s="20" t="s">
        <v>247</v>
      </c>
      <c r="G6" s="20" t="s">
        <v>13</v>
      </c>
      <c r="H6" s="21" t="s">
        <v>203</v>
      </c>
    </row>
  </sheetData>
  <pageMargins left="0.7" right="0.7" top="0.75" bottom="0.75" header="0.3" footer="0.3"/>
  <ignoredErrors>
    <ignoredError sqref="A2:A6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2B4C-B45A-4314-A024-6252AC5916ED}">
  <dimension ref="A1:E26"/>
  <sheetViews>
    <sheetView showGridLines="0" workbookViewId="0">
      <selection activeCell="L8" sqref="L8"/>
    </sheetView>
  </sheetViews>
  <sheetFormatPr defaultRowHeight="14.25" x14ac:dyDescent="0.2"/>
  <cols>
    <col min="1" max="1" width="10.85546875" style="6" bestFit="1" customWidth="1"/>
    <col min="2" max="2" width="37.5703125" style="6" bestFit="1" customWidth="1"/>
    <col min="3" max="3" width="8.85546875" style="6" bestFit="1" customWidth="1"/>
    <col min="4" max="4" width="9.7109375" style="6" bestFit="1" customWidth="1"/>
    <col min="5" max="5" width="10.5703125" style="6" bestFit="1" customWidth="1"/>
    <col min="6" max="16384" width="9.140625" style="6"/>
  </cols>
  <sheetData>
    <row r="1" spans="1:5" s="15" customFormat="1" x14ac:dyDescent="0.2">
      <c r="A1" s="12" t="s">
        <v>192</v>
      </c>
      <c r="B1" s="13" t="s">
        <v>193</v>
      </c>
      <c r="C1" s="13" t="s">
        <v>194</v>
      </c>
      <c r="D1" s="13" t="s">
        <v>195</v>
      </c>
      <c r="E1" s="14" t="s">
        <v>39</v>
      </c>
    </row>
    <row r="2" spans="1:5" x14ac:dyDescent="0.2">
      <c r="A2" s="16" t="s">
        <v>196</v>
      </c>
      <c r="B2" s="17" t="s">
        <v>197</v>
      </c>
      <c r="C2" s="17" t="s">
        <v>142</v>
      </c>
      <c r="D2" s="17" t="s">
        <v>142</v>
      </c>
      <c r="E2" s="18" t="s">
        <v>198</v>
      </c>
    </row>
    <row r="3" spans="1:5" x14ac:dyDescent="0.2">
      <c r="A3" s="16" t="s">
        <v>199</v>
      </c>
      <c r="B3" s="17" t="s">
        <v>200</v>
      </c>
      <c r="C3" s="17" t="s">
        <v>142</v>
      </c>
      <c r="D3" s="17" t="s">
        <v>142</v>
      </c>
      <c r="E3" s="18" t="s">
        <v>198</v>
      </c>
    </row>
    <row r="4" spans="1:5" x14ac:dyDescent="0.2">
      <c r="A4" s="16" t="s">
        <v>201</v>
      </c>
      <c r="B4" s="17" t="s">
        <v>202</v>
      </c>
      <c r="C4" s="17" t="s">
        <v>142</v>
      </c>
      <c r="D4" s="17" t="s">
        <v>43</v>
      </c>
      <c r="E4" s="18" t="s">
        <v>203</v>
      </c>
    </row>
    <row r="5" spans="1:5" x14ac:dyDescent="0.2">
      <c r="A5" s="16" t="s">
        <v>204</v>
      </c>
      <c r="B5" s="17" t="s">
        <v>205</v>
      </c>
      <c r="C5" s="17" t="s">
        <v>142</v>
      </c>
      <c r="D5" s="17" t="s">
        <v>43</v>
      </c>
      <c r="E5" s="18" t="s">
        <v>203</v>
      </c>
    </row>
    <row r="6" spans="1:5" x14ac:dyDescent="0.2">
      <c r="A6" s="16" t="s">
        <v>206</v>
      </c>
      <c r="B6" s="17" t="s">
        <v>207</v>
      </c>
      <c r="C6" s="17" t="s">
        <v>43</v>
      </c>
      <c r="D6" s="17" t="s">
        <v>208</v>
      </c>
      <c r="E6" s="18" t="s">
        <v>203</v>
      </c>
    </row>
    <row r="7" spans="1:5" x14ac:dyDescent="0.2">
      <c r="A7" s="16" t="s">
        <v>209</v>
      </c>
      <c r="B7" s="17" t="s">
        <v>210</v>
      </c>
      <c r="C7" s="17" t="s">
        <v>43</v>
      </c>
      <c r="D7" s="17" t="s">
        <v>208</v>
      </c>
      <c r="E7" s="18" t="s">
        <v>203</v>
      </c>
    </row>
    <row r="8" spans="1:5" x14ac:dyDescent="0.2">
      <c r="A8" s="16" t="s">
        <v>211</v>
      </c>
      <c r="B8" s="17" t="s">
        <v>212</v>
      </c>
      <c r="C8" s="17" t="s">
        <v>43</v>
      </c>
      <c r="D8" s="17" t="s">
        <v>208</v>
      </c>
      <c r="E8" s="18" t="s">
        <v>203</v>
      </c>
    </row>
    <row r="9" spans="1:5" x14ac:dyDescent="0.2">
      <c r="A9" s="16" t="s">
        <v>213</v>
      </c>
      <c r="B9" s="17" t="s">
        <v>214</v>
      </c>
      <c r="C9" s="17" t="s">
        <v>43</v>
      </c>
      <c r="D9" s="17" t="s">
        <v>208</v>
      </c>
      <c r="E9" s="18" t="s">
        <v>203</v>
      </c>
    </row>
    <row r="10" spans="1:5" x14ac:dyDescent="0.2">
      <c r="A10" s="16" t="s">
        <v>215</v>
      </c>
      <c r="B10" s="17" t="s">
        <v>216</v>
      </c>
      <c r="C10" s="17" t="s">
        <v>43</v>
      </c>
      <c r="D10" s="17" t="s">
        <v>208</v>
      </c>
      <c r="E10" s="18" t="s">
        <v>203</v>
      </c>
    </row>
    <row r="11" spans="1:5" x14ac:dyDescent="0.2">
      <c r="A11" s="16" t="s">
        <v>217</v>
      </c>
      <c r="B11" s="17" t="s">
        <v>218</v>
      </c>
      <c r="C11" s="17" t="s">
        <v>208</v>
      </c>
      <c r="D11" s="17" t="s">
        <v>208</v>
      </c>
      <c r="E11" s="18" t="s">
        <v>203</v>
      </c>
    </row>
    <row r="12" spans="1:5" x14ac:dyDescent="0.2">
      <c r="A12" s="16" t="s">
        <v>219</v>
      </c>
      <c r="B12" s="17" t="s">
        <v>107</v>
      </c>
      <c r="C12" s="17" t="s">
        <v>220</v>
      </c>
      <c r="D12" s="17" t="s">
        <v>221</v>
      </c>
      <c r="E12" s="18" t="s">
        <v>203</v>
      </c>
    </row>
    <row r="13" spans="1:5" x14ac:dyDescent="0.2">
      <c r="A13" s="16" t="s">
        <v>222</v>
      </c>
      <c r="B13" s="17" t="s">
        <v>223</v>
      </c>
      <c r="C13" s="17" t="s">
        <v>220</v>
      </c>
      <c r="D13" s="17" t="s">
        <v>224</v>
      </c>
      <c r="E13" s="18" t="s">
        <v>203</v>
      </c>
    </row>
    <row r="14" spans="1:5" x14ac:dyDescent="0.2">
      <c r="A14" s="16" t="s">
        <v>225</v>
      </c>
      <c r="B14" s="17" t="s">
        <v>226</v>
      </c>
      <c r="C14" s="17" t="s">
        <v>224</v>
      </c>
      <c r="D14" s="17" t="s">
        <v>221</v>
      </c>
      <c r="E14" s="18" t="s">
        <v>203</v>
      </c>
    </row>
    <row r="15" spans="1:5" x14ac:dyDescent="0.2">
      <c r="A15" s="16" t="s">
        <v>227</v>
      </c>
      <c r="B15" s="17" t="s">
        <v>228</v>
      </c>
      <c r="C15" s="17" t="s">
        <v>224</v>
      </c>
      <c r="D15" s="17" t="s">
        <v>221</v>
      </c>
      <c r="E15" s="18" t="s">
        <v>203</v>
      </c>
    </row>
    <row r="16" spans="1:5" x14ac:dyDescent="0.2">
      <c r="A16" s="16" t="s">
        <v>229</v>
      </c>
      <c r="B16" s="17" t="s">
        <v>230</v>
      </c>
      <c r="C16" s="17" t="s">
        <v>224</v>
      </c>
      <c r="D16" s="17" t="s">
        <v>221</v>
      </c>
      <c r="E16" s="18" t="s">
        <v>203</v>
      </c>
    </row>
    <row r="17" spans="1:5" x14ac:dyDescent="0.2">
      <c r="A17" s="16" t="s">
        <v>231</v>
      </c>
      <c r="B17" s="17" t="s">
        <v>232</v>
      </c>
      <c r="C17" s="17" t="s">
        <v>220</v>
      </c>
      <c r="D17" s="17" t="s">
        <v>221</v>
      </c>
      <c r="E17" s="18" t="s">
        <v>203</v>
      </c>
    </row>
    <row r="18" spans="1:5" x14ac:dyDescent="0.2">
      <c r="A18" s="16" t="s">
        <v>233</v>
      </c>
      <c r="B18" s="17" t="s">
        <v>234</v>
      </c>
      <c r="C18" s="17" t="s">
        <v>235</v>
      </c>
      <c r="D18" s="17" t="s">
        <v>236</v>
      </c>
      <c r="E18" s="18" t="s">
        <v>203</v>
      </c>
    </row>
    <row r="19" spans="1:5" x14ac:dyDescent="0.2">
      <c r="A19" s="16" t="s">
        <v>237</v>
      </c>
      <c r="B19" s="17" t="s">
        <v>238</v>
      </c>
      <c r="C19" s="17" t="s">
        <v>235</v>
      </c>
      <c r="D19" s="17" t="s">
        <v>235</v>
      </c>
      <c r="E19" s="18" t="s">
        <v>203</v>
      </c>
    </row>
    <row r="20" spans="1:5" x14ac:dyDescent="0.2">
      <c r="A20" s="16" t="s">
        <v>239</v>
      </c>
      <c r="B20" s="17" t="s">
        <v>240</v>
      </c>
      <c r="C20" s="17" t="s">
        <v>235</v>
      </c>
      <c r="D20" s="17" t="s">
        <v>235</v>
      </c>
      <c r="E20" s="18" t="s">
        <v>203</v>
      </c>
    </row>
    <row r="21" spans="1:5" x14ac:dyDescent="0.2">
      <c r="A21" s="16" t="s">
        <v>241</v>
      </c>
      <c r="B21" s="17" t="s">
        <v>242</v>
      </c>
      <c r="C21" s="17" t="s">
        <v>235</v>
      </c>
      <c r="D21" s="17" t="s">
        <v>236</v>
      </c>
      <c r="E21" s="18" t="s">
        <v>203</v>
      </c>
    </row>
    <row r="22" spans="1:5" x14ac:dyDescent="0.2">
      <c r="A22" s="16" t="s">
        <v>243</v>
      </c>
      <c r="B22" s="17" t="s">
        <v>244</v>
      </c>
      <c r="C22" s="17" t="s">
        <v>236</v>
      </c>
      <c r="D22" s="17" t="s">
        <v>236</v>
      </c>
      <c r="E22" s="18" t="s">
        <v>203</v>
      </c>
    </row>
    <row r="23" spans="1:5" x14ac:dyDescent="0.2">
      <c r="A23" s="16" t="s">
        <v>245</v>
      </c>
      <c r="B23" s="17" t="s">
        <v>246</v>
      </c>
      <c r="C23" s="17" t="s">
        <v>247</v>
      </c>
      <c r="D23" s="17" t="s">
        <v>247</v>
      </c>
      <c r="E23" s="18" t="s">
        <v>203</v>
      </c>
    </row>
    <row r="24" spans="1:5" x14ac:dyDescent="0.2">
      <c r="A24" s="16" t="s">
        <v>248</v>
      </c>
      <c r="B24" s="17" t="s">
        <v>249</v>
      </c>
      <c r="C24" s="17" t="s">
        <v>247</v>
      </c>
      <c r="D24" s="17" t="s">
        <v>247</v>
      </c>
      <c r="E24" s="18" t="s">
        <v>203</v>
      </c>
    </row>
    <row r="25" spans="1:5" x14ac:dyDescent="0.2">
      <c r="A25" s="16" t="s">
        <v>250</v>
      </c>
      <c r="B25" s="17" t="s">
        <v>251</v>
      </c>
      <c r="C25" s="17" t="s">
        <v>247</v>
      </c>
      <c r="D25" s="17" t="s">
        <v>247</v>
      </c>
      <c r="E25" s="18" t="s">
        <v>203</v>
      </c>
    </row>
    <row r="26" spans="1:5" x14ac:dyDescent="0.2">
      <c r="A26" s="19" t="s">
        <v>252</v>
      </c>
      <c r="B26" s="20" t="s">
        <v>246</v>
      </c>
      <c r="C26" s="20" t="s">
        <v>247</v>
      </c>
      <c r="D26" s="20" t="s">
        <v>247</v>
      </c>
      <c r="E26" s="21" t="s">
        <v>203</v>
      </c>
    </row>
  </sheetData>
  <pageMargins left="0.7" right="0.7" top="0.75" bottom="0.75" header="0.3" footer="0.3"/>
  <ignoredErrors>
    <ignoredError sqref="A2:A26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3557-768A-4206-8B35-812F1516548E}">
  <dimension ref="A1:J15"/>
  <sheetViews>
    <sheetView showGridLines="0" topLeftCell="D1" workbookViewId="0">
      <selection activeCell="L2" sqref="L2"/>
    </sheetView>
  </sheetViews>
  <sheetFormatPr defaultRowHeight="14.25" x14ac:dyDescent="0.2"/>
  <cols>
    <col min="1" max="1" width="10.7109375" style="6" bestFit="1" customWidth="1"/>
    <col min="2" max="2" width="15.28515625" style="6" bestFit="1" customWidth="1"/>
    <col min="3" max="3" width="81.42578125" style="6" bestFit="1" customWidth="1"/>
    <col min="4" max="4" width="9.85546875" style="6" bestFit="1" customWidth="1"/>
    <col min="5" max="5" width="14.42578125" style="6" bestFit="1" customWidth="1"/>
    <col min="6" max="6" width="10.28515625" style="6" bestFit="1" customWidth="1"/>
    <col min="7" max="7" width="10" style="6" bestFit="1" customWidth="1"/>
    <col min="8" max="8" width="55.42578125" style="6" bestFit="1" customWidth="1"/>
    <col min="9" max="9" width="27.5703125" style="6" bestFit="1" customWidth="1"/>
    <col min="10" max="10" width="9.5703125" style="6" bestFit="1" customWidth="1"/>
    <col min="11" max="16384" width="9.140625" style="6"/>
  </cols>
  <sheetData>
    <row r="1" spans="1:10" s="15" customFormat="1" x14ac:dyDescent="0.2">
      <c r="A1" s="12" t="s">
        <v>133</v>
      </c>
      <c r="B1" s="13" t="s">
        <v>56</v>
      </c>
      <c r="C1" s="13" t="s">
        <v>134</v>
      </c>
      <c r="D1" s="13" t="s">
        <v>135</v>
      </c>
      <c r="E1" s="13" t="s">
        <v>136</v>
      </c>
      <c r="F1" s="13" t="s">
        <v>59</v>
      </c>
      <c r="G1" s="13" t="s">
        <v>137</v>
      </c>
      <c r="H1" s="13" t="s">
        <v>138</v>
      </c>
      <c r="I1" s="13" t="s">
        <v>58</v>
      </c>
      <c r="J1" s="14" t="s">
        <v>39</v>
      </c>
    </row>
    <row r="2" spans="1:10" x14ac:dyDescent="0.2">
      <c r="A2" s="16" t="s">
        <v>139</v>
      </c>
      <c r="B2" s="17" t="s">
        <v>140</v>
      </c>
      <c r="C2" s="17" t="s">
        <v>141</v>
      </c>
      <c r="D2" s="17" t="s">
        <v>142</v>
      </c>
      <c r="E2" s="17" t="s">
        <v>65</v>
      </c>
      <c r="F2" s="17" t="s">
        <v>13</v>
      </c>
      <c r="G2" s="17" t="s">
        <v>13</v>
      </c>
      <c r="H2" s="17" t="s">
        <v>143</v>
      </c>
      <c r="I2" s="17" t="s">
        <v>88</v>
      </c>
      <c r="J2" s="18" t="s">
        <v>67</v>
      </c>
    </row>
    <row r="3" spans="1:10" x14ac:dyDescent="0.2">
      <c r="A3" s="16" t="s">
        <v>144</v>
      </c>
      <c r="B3" s="17" t="s">
        <v>145</v>
      </c>
      <c r="C3" s="17" t="s">
        <v>146</v>
      </c>
      <c r="D3" s="17" t="s">
        <v>142</v>
      </c>
      <c r="E3" s="17" t="s">
        <v>65</v>
      </c>
      <c r="F3" s="17" t="s">
        <v>13</v>
      </c>
      <c r="G3" s="17" t="s">
        <v>13</v>
      </c>
      <c r="H3" s="17" t="s">
        <v>147</v>
      </c>
      <c r="I3" s="17" t="s">
        <v>44</v>
      </c>
      <c r="J3" s="18" t="s">
        <v>67</v>
      </c>
    </row>
    <row r="4" spans="1:10" x14ac:dyDescent="0.2">
      <c r="A4" s="16" t="s">
        <v>148</v>
      </c>
      <c r="B4" s="17" t="s">
        <v>149</v>
      </c>
      <c r="C4" s="17" t="s">
        <v>150</v>
      </c>
      <c r="D4" s="17" t="s">
        <v>142</v>
      </c>
      <c r="E4" s="17" t="s">
        <v>65</v>
      </c>
      <c r="F4" s="17" t="s">
        <v>13</v>
      </c>
      <c r="G4" s="17" t="s">
        <v>13</v>
      </c>
      <c r="H4" s="17" t="s">
        <v>151</v>
      </c>
      <c r="I4" s="17" t="s">
        <v>44</v>
      </c>
      <c r="J4" s="18" t="s">
        <v>67</v>
      </c>
    </row>
    <row r="5" spans="1:10" x14ac:dyDescent="0.2">
      <c r="A5" s="16" t="s">
        <v>152</v>
      </c>
      <c r="B5" s="17" t="s">
        <v>153</v>
      </c>
      <c r="C5" s="17" t="s">
        <v>154</v>
      </c>
      <c r="D5" s="17" t="s">
        <v>142</v>
      </c>
      <c r="E5" s="17" t="s">
        <v>65</v>
      </c>
      <c r="F5" s="17" t="s">
        <v>65</v>
      </c>
      <c r="G5" s="17" t="s">
        <v>65</v>
      </c>
      <c r="H5" s="17" t="s">
        <v>155</v>
      </c>
      <c r="I5" s="17" t="s">
        <v>44</v>
      </c>
      <c r="J5" s="18" t="s">
        <v>67</v>
      </c>
    </row>
    <row r="6" spans="1:10" x14ac:dyDescent="0.2">
      <c r="A6" s="16" t="s">
        <v>156</v>
      </c>
      <c r="B6" s="17" t="s">
        <v>78</v>
      </c>
      <c r="C6" s="17" t="s">
        <v>157</v>
      </c>
      <c r="D6" s="17" t="s">
        <v>142</v>
      </c>
      <c r="E6" s="17" t="s">
        <v>65</v>
      </c>
      <c r="F6" s="17" t="s">
        <v>13</v>
      </c>
      <c r="G6" s="17" t="s">
        <v>13</v>
      </c>
      <c r="H6" s="17" t="s">
        <v>158</v>
      </c>
      <c r="I6" s="17" t="s">
        <v>44</v>
      </c>
      <c r="J6" s="18" t="s">
        <v>67</v>
      </c>
    </row>
    <row r="7" spans="1:10" x14ac:dyDescent="0.2">
      <c r="A7" s="16" t="s">
        <v>159</v>
      </c>
      <c r="B7" s="17" t="s">
        <v>160</v>
      </c>
      <c r="C7" s="17" t="s">
        <v>161</v>
      </c>
      <c r="D7" s="17" t="s">
        <v>142</v>
      </c>
      <c r="E7" s="17" t="s">
        <v>71</v>
      </c>
      <c r="F7" s="17" t="s">
        <v>13</v>
      </c>
      <c r="G7" s="17" t="s">
        <v>13</v>
      </c>
      <c r="H7" s="17" t="s">
        <v>162</v>
      </c>
      <c r="I7" s="17" t="s">
        <v>97</v>
      </c>
      <c r="J7" s="18" t="s">
        <v>67</v>
      </c>
    </row>
    <row r="8" spans="1:10" x14ac:dyDescent="0.2">
      <c r="A8" s="16" t="s">
        <v>163</v>
      </c>
      <c r="B8" s="17" t="s">
        <v>164</v>
      </c>
      <c r="C8" s="17" t="s">
        <v>165</v>
      </c>
      <c r="D8" s="17" t="s">
        <v>142</v>
      </c>
      <c r="E8" s="17" t="s">
        <v>65</v>
      </c>
      <c r="F8" s="17" t="s">
        <v>65</v>
      </c>
      <c r="G8" s="17" t="s">
        <v>65</v>
      </c>
      <c r="H8" s="17" t="s">
        <v>166</v>
      </c>
      <c r="I8" s="17" t="s">
        <v>44</v>
      </c>
      <c r="J8" s="18" t="s">
        <v>67</v>
      </c>
    </row>
    <row r="9" spans="1:10" x14ac:dyDescent="0.2">
      <c r="A9" s="16" t="s">
        <v>167</v>
      </c>
      <c r="B9" s="17" t="s">
        <v>168</v>
      </c>
      <c r="C9" s="17" t="s">
        <v>169</v>
      </c>
      <c r="D9" s="17" t="s">
        <v>142</v>
      </c>
      <c r="E9" s="17" t="s">
        <v>65</v>
      </c>
      <c r="F9" s="17" t="s">
        <v>65</v>
      </c>
      <c r="G9" s="17" t="s">
        <v>65</v>
      </c>
      <c r="H9" s="17" t="s">
        <v>170</v>
      </c>
      <c r="I9" s="17" t="s">
        <v>44</v>
      </c>
      <c r="J9" s="18" t="s">
        <v>67</v>
      </c>
    </row>
    <row r="10" spans="1:10" x14ac:dyDescent="0.2">
      <c r="A10" s="16" t="s">
        <v>171</v>
      </c>
      <c r="B10" s="17" t="s">
        <v>120</v>
      </c>
      <c r="C10" s="17" t="s">
        <v>172</v>
      </c>
      <c r="D10" s="17" t="s">
        <v>142</v>
      </c>
      <c r="E10" s="17" t="s">
        <v>65</v>
      </c>
      <c r="F10" s="17" t="s">
        <v>65</v>
      </c>
      <c r="G10" s="17" t="s">
        <v>65</v>
      </c>
      <c r="H10" s="17" t="s">
        <v>173</v>
      </c>
      <c r="I10" s="17" t="s">
        <v>109</v>
      </c>
      <c r="J10" s="18" t="s">
        <v>67</v>
      </c>
    </row>
    <row r="11" spans="1:10" x14ac:dyDescent="0.2">
      <c r="A11" s="16" t="s">
        <v>174</v>
      </c>
      <c r="B11" s="17" t="s">
        <v>149</v>
      </c>
      <c r="C11" s="17" t="s">
        <v>175</v>
      </c>
      <c r="D11" s="17" t="s">
        <v>142</v>
      </c>
      <c r="E11" s="17" t="s">
        <v>65</v>
      </c>
      <c r="F11" s="17" t="s">
        <v>13</v>
      </c>
      <c r="G11" s="17" t="s">
        <v>13</v>
      </c>
      <c r="H11" s="17" t="s">
        <v>176</v>
      </c>
      <c r="I11" s="17" t="s">
        <v>44</v>
      </c>
      <c r="J11" s="18" t="s">
        <v>67</v>
      </c>
    </row>
    <row r="12" spans="1:10" x14ac:dyDescent="0.2">
      <c r="A12" s="16" t="s">
        <v>177</v>
      </c>
      <c r="B12" s="17" t="s">
        <v>178</v>
      </c>
      <c r="C12" s="17" t="s">
        <v>179</v>
      </c>
      <c r="D12" s="17" t="s">
        <v>43</v>
      </c>
      <c r="E12" s="17" t="s">
        <v>65</v>
      </c>
      <c r="F12" s="17" t="s">
        <v>65</v>
      </c>
      <c r="G12" s="17" t="s">
        <v>65</v>
      </c>
      <c r="H12" s="17" t="s">
        <v>180</v>
      </c>
      <c r="I12" s="17" t="s">
        <v>44</v>
      </c>
      <c r="J12" s="18" t="s">
        <v>67</v>
      </c>
    </row>
    <row r="13" spans="1:10" x14ac:dyDescent="0.2">
      <c r="A13" s="16" t="s">
        <v>181</v>
      </c>
      <c r="B13" s="17" t="s">
        <v>131</v>
      </c>
      <c r="C13" s="17" t="s">
        <v>182</v>
      </c>
      <c r="D13" s="17" t="s">
        <v>43</v>
      </c>
      <c r="E13" s="17" t="s">
        <v>65</v>
      </c>
      <c r="F13" s="17" t="s">
        <v>65</v>
      </c>
      <c r="G13" s="17" t="s">
        <v>65</v>
      </c>
      <c r="H13" s="17" t="s">
        <v>183</v>
      </c>
      <c r="I13" s="17" t="s">
        <v>44</v>
      </c>
      <c r="J13" s="18" t="s">
        <v>67</v>
      </c>
    </row>
    <row r="14" spans="1:10" x14ac:dyDescent="0.2">
      <c r="A14" s="16" t="s">
        <v>184</v>
      </c>
      <c r="B14" s="17" t="s">
        <v>185</v>
      </c>
      <c r="C14" s="17" t="s">
        <v>186</v>
      </c>
      <c r="D14" s="17" t="s">
        <v>43</v>
      </c>
      <c r="E14" s="17" t="s">
        <v>65</v>
      </c>
      <c r="F14" s="17" t="s">
        <v>13</v>
      </c>
      <c r="G14" s="17" t="s">
        <v>13</v>
      </c>
      <c r="H14" s="17" t="s">
        <v>187</v>
      </c>
      <c r="I14" s="17" t="s">
        <v>44</v>
      </c>
      <c r="J14" s="18" t="s">
        <v>67</v>
      </c>
    </row>
    <row r="15" spans="1:10" x14ac:dyDescent="0.2">
      <c r="A15" s="19" t="s">
        <v>188</v>
      </c>
      <c r="B15" s="20" t="s">
        <v>189</v>
      </c>
      <c r="C15" s="20" t="s">
        <v>190</v>
      </c>
      <c r="D15" s="20" t="s">
        <v>43</v>
      </c>
      <c r="E15" s="20" t="s">
        <v>65</v>
      </c>
      <c r="F15" s="20" t="s">
        <v>13</v>
      </c>
      <c r="G15" s="20" t="s">
        <v>13</v>
      </c>
      <c r="H15" s="20" t="s">
        <v>191</v>
      </c>
      <c r="I15" s="20" t="s">
        <v>44</v>
      </c>
      <c r="J15" s="21" t="s">
        <v>67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E3C9D-5347-4C05-B235-C80CC66FDC58}">
  <dimension ref="A1:H10"/>
  <sheetViews>
    <sheetView showGridLines="0" workbookViewId="0">
      <selection activeCell="B17" sqref="B17"/>
    </sheetView>
  </sheetViews>
  <sheetFormatPr defaultRowHeight="14.25" x14ac:dyDescent="0.2"/>
  <cols>
    <col min="1" max="1" width="18.140625" style="23" customWidth="1"/>
    <col min="2" max="2" width="35.42578125" style="23" bestFit="1" customWidth="1"/>
    <col min="3" max="3" width="38.28515625" style="23" bestFit="1" customWidth="1"/>
    <col min="4" max="4" width="18.85546875" style="23" bestFit="1" customWidth="1"/>
    <col min="5" max="5" width="29.28515625" style="23" bestFit="1" customWidth="1"/>
    <col min="6" max="6" width="14" style="23" customWidth="1"/>
    <col min="7" max="7" width="35.85546875" style="23" bestFit="1" customWidth="1"/>
    <col min="8" max="8" width="9.5703125" style="23" bestFit="1" customWidth="1"/>
    <col min="9" max="16384" width="9.140625" style="23"/>
  </cols>
  <sheetData>
    <row r="1" spans="1:8" s="22" customFormat="1" x14ac:dyDescent="0.2">
      <c r="A1" s="24" t="s">
        <v>77</v>
      </c>
      <c r="B1" s="25" t="s">
        <v>78</v>
      </c>
      <c r="C1" s="25" t="s">
        <v>79</v>
      </c>
      <c r="D1" s="25" t="s">
        <v>80</v>
      </c>
      <c r="E1" s="25" t="s">
        <v>81</v>
      </c>
      <c r="F1" s="25" t="s">
        <v>82</v>
      </c>
      <c r="G1" s="25" t="s">
        <v>83</v>
      </c>
      <c r="H1" s="26" t="s">
        <v>39</v>
      </c>
    </row>
    <row r="2" spans="1:8" x14ac:dyDescent="0.2">
      <c r="A2" s="16" t="s">
        <v>84</v>
      </c>
      <c r="B2" s="17" t="s">
        <v>85</v>
      </c>
      <c r="C2" s="17" t="s">
        <v>86</v>
      </c>
      <c r="D2" s="17" t="s">
        <v>87</v>
      </c>
      <c r="E2" s="17" t="s">
        <v>88</v>
      </c>
      <c r="F2" s="17" t="s">
        <v>13</v>
      </c>
      <c r="G2" s="17" t="s">
        <v>89</v>
      </c>
      <c r="H2" s="18" t="s">
        <v>67</v>
      </c>
    </row>
    <row r="3" spans="1:8" x14ac:dyDescent="0.2">
      <c r="A3" s="16" t="s">
        <v>90</v>
      </c>
      <c r="B3" s="17" t="s">
        <v>91</v>
      </c>
      <c r="C3" s="17" t="s">
        <v>92</v>
      </c>
      <c r="D3" s="17" t="s">
        <v>87</v>
      </c>
      <c r="E3" s="17" t="s">
        <v>88</v>
      </c>
      <c r="F3" s="17" t="s">
        <v>13</v>
      </c>
      <c r="G3" s="17" t="s">
        <v>93</v>
      </c>
      <c r="H3" s="18" t="s">
        <v>67</v>
      </c>
    </row>
    <row r="4" spans="1:8" x14ac:dyDescent="0.2">
      <c r="A4" s="16" t="s">
        <v>94</v>
      </c>
      <c r="B4" s="17" t="s">
        <v>95</v>
      </c>
      <c r="C4" s="17" t="s">
        <v>96</v>
      </c>
      <c r="D4" s="17" t="s">
        <v>87</v>
      </c>
      <c r="E4" s="17" t="s">
        <v>97</v>
      </c>
      <c r="F4" s="17" t="s">
        <v>13</v>
      </c>
      <c r="G4" s="17" t="s">
        <v>98</v>
      </c>
      <c r="H4" s="18" t="s">
        <v>67</v>
      </c>
    </row>
    <row r="5" spans="1:8" x14ac:dyDescent="0.2">
      <c r="A5" s="16" t="s">
        <v>99</v>
      </c>
      <c r="B5" s="17" t="s">
        <v>100</v>
      </c>
      <c r="C5" s="17" t="s">
        <v>101</v>
      </c>
      <c r="D5" s="17" t="s">
        <v>102</v>
      </c>
      <c r="E5" s="17" t="s">
        <v>103</v>
      </c>
      <c r="F5" s="17" t="s">
        <v>13</v>
      </c>
      <c r="G5" s="17" t="s">
        <v>104</v>
      </c>
      <c r="H5" s="18" t="s">
        <v>67</v>
      </c>
    </row>
    <row r="6" spans="1:8" x14ac:dyDescent="0.2">
      <c r="A6" s="16" t="s">
        <v>105</v>
      </c>
      <c r="B6" s="17" t="s">
        <v>106</v>
      </c>
      <c r="C6" s="17" t="s">
        <v>107</v>
      </c>
      <c r="D6" s="17" t="s">
        <v>108</v>
      </c>
      <c r="E6" s="17" t="s">
        <v>109</v>
      </c>
      <c r="F6" s="17" t="s">
        <v>13</v>
      </c>
      <c r="G6" s="17" t="s">
        <v>110</v>
      </c>
      <c r="H6" s="18" t="s">
        <v>67</v>
      </c>
    </row>
    <row r="7" spans="1:8" x14ac:dyDescent="0.2">
      <c r="A7" s="16" t="s">
        <v>111</v>
      </c>
      <c r="B7" s="17" t="s">
        <v>112</v>
      </c>
      <c r="C7" s="17" t="s">
        <v>113</v>
      </c>
      <c r="D7" s="17" t="s">
        <v>114</v>
      </c>
      <c r="E7" s="17" t="s">
        <v>115</v>
      </c>
      <c r="F7" s="17" t="s">
        <v>13</v>
      </c>
      <c r="G7" s="17" t="s">
        <v>116</v>
      </c>
      <c r="H7" s="18" t="s">
        <v>67</v>
      </c>
    </row>
    <row r="8" spans="1:8" x14ac:dyDescent="0.2">
      <c r="A8" s="16" t="s">
        <v>117</v>
      </c>
      <c r="B8" s="17" t="s">
        <v>118</v>
      </c>
      <c r="C8" s="17" t="s">
        <v>119</v>
      </c>
      <c r="D8" s="17" t="s">
        <v>120</v>
      </c>
      <c r="E8" s="17" t="s">
        <v>121</v>
      </c>
      <c r="F8" s="17" t="s">
        <v>65</v>
      </c>
      <c r="G8" s="17" t="s">
        <v>122</v>
      </c>
      <c r="H8" s="18" t="s">
        <v>67</v>
      </c>
    </row>
    <row r="9" spans="1:8" x14ac:dyDescent="0.2">
      <c r="A9" s="16" t="s">
        <v>123</v>
      </c>
      <c r="B9" s="17" t="s">
        <v>124</v>
      </c>
      <c r="C9" s="17" t="s">
        <v>125</v>
      </c>
      <c r="D9" s="17" t="s">
        <v>126</v>
      </c>
      <c r="E9" s="17" t="s">
        <v>109</v>
      </c>
      <c r="F9" s="17" t="s">
        <v>13</v>
      </c>
      <c r="G9" s="17" t="s">
        <v>127</v>
      </c>
      <c r="H9" s="18" t="s">
        <v>67</v>
      </c>
    </row>
    <row r="10" spans="1:8" x14ac:dyDescent="0.2">
      <c r="A10" s="19" t="s">
        <v>128</v>
      </c>
      <c r="B10" s="20" t="s">
        <v>129</v>
      </c>
      <c r="C10" s="20" t="s">
        <v>130</v>
      </c>
      <c r="D10" s="20" t="s">
        <v>131</v>
      </c>
      <c r="E10" s="20" t="s">
        <v>44</v>
      </c>
      <c r="F10" s="20" t="s">
        <v>65</v>
      </c>
      <c r="G10" s="20" t="s">
        <v>132</v>
      </c>
      <c r="H10" s="21" t="s">
        <v>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644B-2E0C-4B44-BD85-033D0A2DB60B}">
  <dimension ref="A1:H4"/>
  <sheetViews>
    <sheetView showGridLines="0" workbookViewId="0">
      <selection activeCell="F8" sqref="F8"/>
    </sheetView>
  </sheetViews>
  <sheetFormatPr defaultRowHeight="15" x14ac:dyDescent="0.25"/>
  <cols>
    <col min="1" max="1" width="12" customWidth="1"/>
    <col min="2" max="2" width="21.140625" bestFit="1" customWidth="1"/>
    <col min="3" max="3" width="84.140625" bestFit="1" customWidth="1"/>
    <col min="4" max="4" width="10.140625" bestFit="1" customWidth="1"/>
    <col min="5" max="5" width="10.28515625" bestFit="1" customWidth="1"/>
    <col min="6" max="6" width="72.5703125" bestFit="1" customWidth="1"/>
    <col min="7" max="7" width="9.5703125" bestFit="1" customWidth="1"/>
    <col min="8" max="8" width="14" customWidth="1"/>
  </cols>
  <sheetData>
    <row r="1" spans="1:8" s="11" customFormat="1" x14ac:dyDescent="0.25">
      <c r="A1" s="24" t="s">
        <v>55</v>
      </c>
      <c r="B1" s="25" t="s">
        <v>56</v>
      </c>
      <c r="C1" s="25" t="s">
        <v>57</v>
      </c>
      <c r="D1" s="25" t="s">
        <v>58</v>
      </c>
      <c r="E1" s="25" t="s">
        <v>59</v>
      </c>
      <c r="F1" s="25" t="s">
        <v>60</v>
      </c>
      <c r="G1" s="25" t="s">
        <v>39</v>
      </c>
      <c r="H1" s="26" t="s">
        <v>61</v>
      </c>
    </row>
    <row r="2" spans="1:8" x14ac:dyDescent="0.25">
      <c r="A2" s="16" t="s">
        <v>62</v>
      </c>
      <c r="B2" s="17" t="s">
        <v>63</v>
      </c>
      <c r="C2" s="17" t="s">
        <v>64</v>
      </c>
      <c r="D2" s="17" t="s">
        <v>44</v>
      </c>
      <c r="E2" s="17" t="s">
        <v>65</v>
      </c>
      <c r="F2" s="17" t="s">
        <v>66</v>
      </c>
      <c r="G2" s="17" t="s">
        <v>67</v>
      </c>
      <c r="H2" s="18" t="s">
        <v>43</v>
      </c>
    </row>
    <row r="3" spans="1:8" x14ac:dyDescent="0.25">
      <c r="A3" s="16" t="s">
        <v>68</v>
      </c>
      <c r="B3" s="17" t="s">
        <v>69</v>
      </c>
      <c r="C3" s="17" t="s">
        <v>70</v>
      </c>
      <c r="D3" s="17" t="s">
        <v>44</v>
      </c>
      <c r="E3" s="17" t="s">
        <v>71</v>
      </c>
      <c r="F3" s="17" t="s">
        <v>72</v>
      </c>
      <c r="G3" s="17" t="s">
        <v>67</v>
      </c>
      <c r="H3" s="18" t="s">
        <v>43</v>
      </c>
    </row>
    <row r="4" spans="1:8" x14ac:dyDescent="0.25">
      <c r="A4" s="19" t="s">
        <v>73</v>
      </c>
      <c r="B4" s="20" t="s">
        <v>74</v>
      </c>
      <c r="C4" s="20" t="s">
        <v>75</v>
      </c>
      <c r="D4" s="20" t="s">
        <v>44</v>
      </c>
      <c r="E4" s="20" t="s">
        <v>65</v>
      </c>
      <c r="F4" s="20" t="s">
        <v>76</v>
      </c>
      <c r="G4" s="20" t="s">
        <v>67</v>
      </c>
      <c r="H4" s="21" t="s">
        <v>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8FE7-88E6-48E7-8853-C2C110C07BAC}">
  <dimension ref="A1:F5"/>
  <sheetViews>
    <sheetView showGridLines="0" workbookViewId="0">
      <selection activeCell="B18" sqref="B18"/>
    </sheetView>
  </sheetViews>
  <sheetFormatPr defaultRowHeight="14.25" x14ac:dyDescent="0.2"/>
  <cols>
    <col min="1" max="1" width="14.5703125" style="6" customWidth="1"/>
    <col min="2" max="2" width="55.85546875" style="6" bestFit="1" customWidth="1"/>
    <col min="3" max="3" width="71.140625" style="6" bestFit="1" customWidth="1"/>
    <col min="4" max="4" width="10.28515625" style="6" customWidth="1"/>
    <col min="5" max="5" width="18.85546875" style="6" customWidth="1"/>
    <col min="6" max="6" width="9.85546875" style="6" bestFit="1" customWidth="1"/>
    <col min="7" max="16384" width="9.140625" style="6"/>
  </cols>
  <sheetData>
    <row r="1" spans="1:6" s="15" customFormat="1" x14ac:dyDescent="0.2">
      <c r="A1" s="24" t="s">
        <v>34</v>
      </c>
      <c r="B1" s="25" t="s">
        <v>35</v>
      </c>
      <c r="C1" s="25" t="s">
        <v>36</v>
      </c>
      <c r="D1" s="25" t="s">
        <v>37</v>
      </c>
      <c r="E1" s="25" t="s">
        <v>38</v>
      </c>
      <c r="F1" s="26" t="s">
        <v>39</v>
      </c>
    </row>
    <row r="2" spans="1:6" x14ac:dyDescent="0.2">
      <c r="A2" s="16" t="s">
        <v>40</v>
      </c>
      <c r="B2" s="17" t="s">
        <v>41</v>
      </c>
      <c r="C2" s="17" t="s">
        <v>42</v>
      </c>
      <c r="D2" s="17" t="s">
        <v>43</v>
      </c>
      <c r="E2" s="17" t="s">
        <v>44</v>
      </c>
      <c r="F2" s="18" t="s">
        <v>45</v>
      </c>
    </row>
    <row r="3" spans="1:6" x14ac:dyDescent="0.2">
      <c r="A3" s="16" t="s">
        <v>46</v>
      </c>
      <c r="B3" s="17" t="s">
        <v>47</v>
      </c>
      <c r="C3" s="17" t="s">
        <v>48</v>
      </c>
      <c r="D3" s="17" t="s">
        <v>43</v>
      </c>
      <c r="E3" s="17" t="s">
        <v>44</v>
      </c>
      <c r="F3" s="18" t="s">
        <v>45</v>
      </c>
    </row>
    <row r="4" spans="1:6" x14ac:dyDescent="0.2">
      <c r="A4" s="16" t="s">
        <v>49</v>
      </c>
      <c r="B4" s="17" t="s">
        <v>50</v>
      </c>
      <c r="C4" s="17" t="s">
        <v>51</v>
      </c>
      <c r="D4" s="17" t="s">
        <v>43</v>
      </c>
      <c r="E4" s="17" t="s">
        <v>44</v>
      </c>
      <c r="F4" s="18" t="s">
        <v>45</v>
      </c>
    </row>
    <row r="5" spans="1:6" x14ac:dyDescent="0.2">
      <c r="A5" s="19" t="s">
        <v>52</v>
      </c>
      <c r="B5" s="20" t="s">
        <v>53</v>
      </c>
      <c r="C5" s="20" t="s">
        <v>54</v>
      </c>
      <c r="D5" s="20" t="s">
        <v>43</v>
      </c>
      <c r="E5" s="20" t="s">
        <v>44</v>
      </c>
      <c r="F5" s="21" t="s">
        <v>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1F7D-9766-44A4-A305-F6140BFDE8A5}">
  <dimension ref="A1:G6"/>
  <sheetViews>
    <sheetView showGridLines="0" workbookViewId="0">
      <selection activeCell="C15" sqref="C15"/>
    </sheetView>
  </sheetViews>
  <sheetFormatPr defaultRowHeight="14.25" x14ac:dyDescent="0.2"/>
  <cols>
    <col min="1" max="1" width="19.140625" style="6" customWidth="1"/>
    <col min="2" max="2" width="28.42578125" style="6" bestFit="1" customWidth="1"/>
    <col min="3" max="3" width="73.85546875" style="6" bestFit="1" customWidth="1"/>
    <col min="4" max="4" width="65.140625" style="6" bestFit="1" customWidth="1"/>
    <col min="5" max="5" width="46.85546875" style="6" bestFit="1" customWidth="1"/>
    <col min="6" max="6" width="28" style="6" customWidth="1"/>
    <col min="7" max="7" width="11.42578125" style="6" bestFit="1" customWidth="1"/>
    <col min="8" max="16384" width="9.140625" style="6"/>
  </cols>
  <sheetData>
    <row r="1" spans="1:7" s="15" customFormat="1" x14ac:dyDescent="0.2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</row>
    <row r="2" spans="1:7" x14ac:dyDescent="0.2">
      <c r="A2" s="16" t="s">
        <v>7</v>
      </c>
      <c r="B2" s="17" t="s">
        <v>8</v>
      </c>
      <c r="C2" s="17" t="s">
        <v>9</v>
      </c>
      <c r="D2" s="17" t="s">
        <v>10</v>
      </c>
      <c r="E2" s="17" t="s">
        <v>11</v>
      </c>
      <c r="F2" s="17" t="s">
        <v>12</v>
      </c>
      <c r="G2" s="18" t="s">
        <v>13</v>
      </c>
    </row>
    <row r="3" spans="1:7" x14ac:dyDescent="0.2">
      <c r="A3" s="16" t="s">
        <v>14</v>
      </c>
      <c r="B3" s="17" t="s">
        <v>15</v>
      </c>
      <c r="C3" s="17" t="s">
        <v>16</v>
      </c>
      <c r="D3" s="17" t="s">
        <v>17</v>
      </c>
      <c r="E3" s="17" t="s">
        <v>11</v>
      </c>
      <c r="F3" s="17" t="s">
        <v>18</v>
      </c>
      <c r="G3" s="18" t="s">
        <v>13</v>
      </c>
    </row>
    <row r="4" spans="1:7" x14ac:dyDescent="0.2">
      <c r="A4" s="16" t="s">
        <v>19</v>
      </c>
      <c r="B4" s="17" t="s">
        <v>20</v>
      </c>
      <c r="C4" s="17" t="s">
        <v>21</v>
      </c>
      <c r="D4" s="17" t="s">
        <v>22</v>
      </c>
      <c r="E4" s="17" t="s">
        <v>11</v>
      </c>
      <c r="F4" s="17" t="s">
        <v>23</v>
      </c>
      <c r="G4" s="18" t="s">
        <v>13</v>
      </c>
    </row>
    <row r="5" spans="1:7" x14ac:dyDescent="0.2">
      <c r="A5" s="16" t="s">
        <v>24</v>
      </c>
      <c r="B5" s="17" t="s">
        <v>25</v>
      </c>
      <c r="C5" s="17" t="s">
        <v>26</v>
      </c>
      <c r="D5" s="17" t="s">
        <v>27</v>
      </c>
      <c r="E5" s="17" t="s">
        <v>11</v>
      </c>
      <c r="F5" s="17" t="s">
        <v>28</v>
      </c>
      <c r="G5" s="18" t="s">
        <v>13</v>
      </c>
    </row>
    <row r="6" spans="1:7" x14ac:dyDescent="0.2">
      <c r="A6" s="19" t="s">
        <v>29</v>
      </c>
      <c r="B6" s="20" t="s">
        <v>30</v>
      </c>
      <c r="C6" s="20" t="s">
        <v>31</v>
      </c>
      <c r="D6" s="20" t="s">
        <v>32</v>
      </c>
      <c r="E6" s="20" t="s">
        <v>11</v>
      </c>
      <c r="F6" s="20" t="s">
        <v>33</v>
      </c>
      <c r="G6" s="2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Dashboard</vt:lpstr>
      <vt:lpstr>Task Tracker</vt:lpstr>
      <vt:lpstr>Updated Project Plan</vt:lpstr>
      <vt:lpstr>Timeline</vt:lpstr>
      <vt:lpstr>Risk Register</vt:lpstr>
      <vt:lpstr>Dependency Register</vt:lpstr>
      <vt:lpstr>Issues Log</vt:lpstr>
      <vt:lpstr>Decision Log</vt:lpstr>
      <vt:lpstr>Track Coordination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Okafor Felix</dc:creator>
  <cp:lastModifiedBy>Okafor Felix</cp:lastModifiedBy>
  <dcterms:created xsi:type="dcterms:W3CDTF">2026-09-05T15:20:20Z</dcterms:created>
  <dcterms:modified xsi:type="dcterms:W3CDTF">2026-09-05T15:44:11Z</dcterms:modified>
</cp:coreProperties>
</file>