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6(HealthConnect Clinic Experience Lab)\"/>
    </mc:Choice>
  </mc:AlternateContent>
  <xr:revisionPtr revIDLastSave="0" documentId="13_ncr:1_{1D3B77EE-E217-48D7-910D-37DBE2BF02CD}" xr6:coauthVersionLast="47" xr6:coauthVersionMax="47" xr10:uidLastSave="{00000000-0000-0000-0000-000000000000}"/>
  <bookViews>
    <workbookView xWindow="-120" yWindow="-120" windowWidth="20730" windowHeight="11760" xr2:uid="{D909668F-3E70-409E-B55C-3989CCA4C479}"/>
  </bookViews>
  <sheets>
    <sheet name="Integration Map" sheetId="1" r:id="rId1"/>
    <sheet name="Integration Register" sheetId="2" r:id="rId2"/>
    <sheet name="Integration Readiness" sheetId="3" r:id="rId3"/>
    <sheet name="Integration Issue Log" sheetId="4" r:id="rId4"/>
    <sheet name="Decision Log" sheetId="5" r:id="rId5"/>
    <sheet name="Updated Timeline" sheetId="6" r:id="rId6"/>
    <sheet name="Updated Risk Register" sheetId="7" r:id="rId7"/>
    <sheet name="Read Me" sheetId="8" r:id="rId8"/>
    <sheet name="Unresolved Issues" sheetId="9" r:id="rId9"/>
    <sheet name="Cross-Track Coordinatio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<sst xmlns="http://schemas.openxmlformats.org/spreadsheetml/2006/main" count="629" uniqueCount="409">
  <si>
    <t>Pending Evidence</t>
  </si>
  <si>
    <t>Updated deliverables/validation evidence</t>
  </si>
  <si>
    <t>Monitor readiness and unresolved dependencies</t>
  </si>
  <si>
    <t>Supports common HealthConnect objective</t>
  </si>
  <si>
    <t>Relevant outputs for integrated solution</t>
  </si>
  <si>
    <t>All Workstreams</t>
  </si>
  <si>
    <t>INT-006</t>
  </si>
  <si>
    <t>PM Control</t>
  </si>
  <si>
    <t>Updated PM workbook</t>
  </si>
  <si>
    <t>Coordinate integrated controls</t>
  </si>
  <si>
    <t>Provides project governance</t>
  </si>
  <si>
    <t>Priorities, risks, issues, decisions and timelines</t>
  </si>
  <si>
    <t>Project Management</t>
  </si>
  <si>
    <t>INT-005</t>
  </si>
  <si>
    <t>Evaluation output</t>
  </si>
  <si>
    <t>Capture issues, risks and decisions</t>
  </si>
  <si>
    <t>Supports readiness and risk decisions</t>
  </si>
  <si>
    <t>Assistant evaluation findings, issues and dependencies</t>
  </si>
  <si>
    <t>GenAI</t>
  </si>
  <si>
    <t>INT-004</t>
  </si>
  <si>
    <t>Integration test result</t>
  </si>
  <si>
    <t>Track issue and resolution</t>
  </si>
  <si>
    <t>Can reveal compatibility issues</t>
  </si>
  <si>
    <t>Pipeline/model validation feedback</t>
  </si>
  <si>
    <t>Data Science</t>
  </si>
  <si>
    <t>ML Engineering</t>
  </si>
  <si>
    <t>INT-003</t>
  </si>
  <si>
    <t>Model artefact/interface documentation</t>
  </si>
  <si>
    <t>Monitor readiness and dependency</t>
  </si>
  <si>
    <t>Enables pipeline integration</t>
  </si>
  <si>
    <t>Candidate model and interface requirements</t>
  </si>
  <si>
    <t>INT-002</t>
  </si>
  <si>
    <t>Validated analysis/report</t>
  </si>
  <si>
    <t>Track dependency and resulting decision</t>
  </si>
  <si>
    <t>Can inform modelling decisions</t>
  </si>
  <si>
    <t>Validated analytical findings</t>
  </si>
  <si>
    <t>Data Analytics</t>
  </si>
  <si>
    <t>INT-001</t>
  </si>
  <si>
    <t>Status</t>
  </si>
  <si>
    <t>Evidence Required</t>
  </si>
  <si>
    <t>PM Coordination Role</t>
  </si>
  <si>
    <t>Why Relevant</t>
  </si>
  <si>
    <t>Input / Output</t>
  </si>
  <si>
    <t>To Workstream</t>
  </si>
  <si>
    <t>From Workstream</t>
  </si>
  <si>
    <t>Integration ID</t>
  </si>
  <si>
    <t>Shows how workstreams connect and what information/output flows between them.</t>
  </si>
  <si>
    <t>HealthConnect Week 6 — Workstream Integration Map</t>
  </si>
  <si>
    <t>HealthConnect_Week5_Analysis.pdf</t>
  </si>
  <si>
    <t>Carry findings into integration controls, dependency tracking and Week 7 testing/refinement preparation</t>
  </si>
  <si>
    <t>Active - Informed</t>
  </si>
  <si>
    <t>Data Analytics / PM</t>
  </si>
  <si>
    <t>High</t>
  </si>
  <si>
    <t>PM may miss evidence-based priorities and testing considerations</t>
  </si>
  <si>
    <t>Analytical / Planning</t>
  </si>
  <si>
    <t>Week 5 analytical findings on no-show patterns and remaining analysis</t>
  </si>
  <si>
    <t>DINT-006</t>
  </si>
  <si>
    <t>Week 6 PM workbook</t>
  </si>
  <si>
    <t>Maintain integrated controls and escalate blockers</t>
  </si>
  <si>
    <t>Active</t>
  </si>
  <si>
    <t>PM</t>
  </si>
  <si>
    <t>Uncoordinated work can create bottlenecks</t>
  </si>
  <si>
    <t>Project Governance</t>
  </si>
  <si>
    <t>Integration priorities, timeline, risks, issues and decisions</t>
  </si>
  <si>
    <t>All Tracks</t>
  </si>
  <si>
    <t>DINT-005</t>
  </si>
  <si>
    <t>To be attached/linked</t>
  </si>
  <si>
    <t>Review evidence and update risks/issues</t>
  </si>
  <si>
    <t>GenAI / PM</t>
  </si>
  <si>
    <t>Medium</t>
  </si>
  <si>
    <t>Readiness and risk assessment may be incomplete</t>
  </si>
  <si>
    <t>Information / Safety</t>
  </si>
  <si>
    <t>Assistant evaluation/refinement findings</t>
  </si>
  <si>
    <t>DINT-004</t>
  </si>
  <si>
    <t>Record validation outcome and unresolved issues</t>
  </si>
  <si>
    <t>ML Engineering / Data Science</t>
  </si>
  <si>
    <t>Integration defects may affect testing</t>
  </si>
  <si>
    <t>Technical</t>
  </si>
  <si>
    <t>Pipeline/model compatibility validation</t>
  </si>
  <si>
    <t>DINT-003</t>
  </si>
  <si>
    <t>Confirm model interface and requirements</t>
  </si>
  <si>
    <t>Data Science / ML Engineering</t>
  </si>
  <si>
    <t>Pipeline integration may be delayed</t>
  </si>
  <si>
    <t>Validated candidate model and interface requirements</t>
  </si>
  <si>
    <t>DINT-002</t>
  </si>
  <si>
    <t>Use validated Week 5 analytics findings to update PM integration priorities and Week 7 testing preparation</t>
  </si>
  <si>
    <t>Completed - PM Integration</t>
  </si>
  <si>
    <t>Model decisions may lack validated business context</t>
  </si>
  <si>
    <t>Analytical</t>
  </si>
  <si>
    <t>Validated findings relevant to attendance/no-show decisions</t>
  </si>
  <si>
    <t>DINT-001</t>
  </si>
  <si>
    <t>Evidence</t>
  </si>
  <si>
    <t>Required Action</t>
  </si>
  <si>
    <t>Owner</t>
  </si>
  <si>
    <t>Priority</t>
  </si>
  <si>
    <t>Potential Impact</t>
  </si>
  <si>
    <t>Type</t>
  </si>
  <si>
    <t>Dependency / Required Output</t>
  </si>
  <si>
    <t>To Track</t>
  </si>
  <si>
    <t>From Track</t>
  </si>
  <si>
    <t>ID</t>
  </si>
  <si>
    <t>Tracks dependencies affecting integration readiness and Week 7 sequencing.</t>
  </si>
  <si>
    <t>HealthConnect Week 6 — Integration &amp; Dependency Register</t>
  </si>
  <si>
    <t>HealthConnect Week 6 — Integration Readiness Assessment</t>
  </si>
  <si>
    <t>Readiness is evidence-based; do not mark technical outputs ready without supporting evidence.</t>
  </si>
  <si>
    <t>Workstream</t>
  </si>
  <si>
    <t>Expected Output</t>
  </si>
  <si>
    <t>Evidence Available?</t>
  </si>
  <si>
    <t>Readiness</t>
  </si>
  <si>
    <t>Reason / Gap</t>
  </si>
  <si>
    <t>Dependency</t>
  </si>
  <si>
    <t>Action Before Week 7</t>
  </si>
  <si>
    <t>PM Owner</t>
  </si>
  <si>
    <t>Advanced Analytics &amp; Decision Support</t>
  </si>
  <si>
    <t>Yes - Week 5 analysis received</t>
  </si>
  <si>
    <t>Integrated / PM Evidence Available</t>
  </si>
  <si>
    <t>Week 5 analysis provides validated findings and identifies remaining analytical work; downstream technical use is not claimed</t>
  </si>
  <si>
    <t>Analytics findings inform PM priorities and Week 7 preparation</t>
  </si>
  <si>
    <t>Use findings in testing/refinement coordination; verify any downstream modelling use separately</t>
  </si>
  <si>
    <t>Model Improvement &amp; Validation</t>
  </si>
  <si>
    <t>Not verified</t>
  </si>
  <si>
    <t>Improved model/validation not verified</t>
  </si>
  <si>
    <t>Candidate model/interface</t>
  </si>
  <si>
    <t>Verify model and validation evidence</t>
  </si>
  <si>
    <t>Integrated ML Pipeline</t>
  </si>
  <si>
    <t>Pipeline evidence not verified</t>
  </si>
  <si>
    <t>Validated model/interface</t>
  </si>
  <si>
    <t>Verify integration testing evidence</t>
  </si>
  <si>
    <t>Generative AI</t>
  </si>
  <si>
    <t>AI Assistant Evaluation &amp; Refinement</t>
  </si>
  <si>
    <t>Evaluation/refinement evidence not verified</t>
  </si>
  <si>
    <t>Evaluation findings</t>
  </si>
  <si>
    <t>Verify evidence and update controls</t>
  </si>
  <si>
    <t>Integration &amp; Coordination Package</t>
  </si>
  <si>
    <t>Yes — PM artefacts</t>
  </si>
  <si>
    <t>In Progress</t>
  </si>
  <si>
    <t>Integration controls are being established</t>
  </si>
  <si>
    <t>Technical evidence needed for full readiness</t>
  </si>
  <si>
    <t>Maintain evidence-based status</t>
  </si>
  <si>
    <t>HealthConnect Week 6 — Integration Issue Log</t>
  </si>
  <si>
    <t>Records actual integration issues and the actions needed to resolve them.</t>
  </si>
  <si>
    <t>Issue ID</t>
  </si>
  <si>
    <t>Week</t>
  </si>
  <si>
    <t>Issue Description</t>
  </si>
  <si>
    <t>Affected Tracks</t>
  </si>
  <si>
    <t>Impact</t>
  </si>
  <si>
    <t>Action / Resolution</t>
  </si>
  <si>
    <t>Escalation</t>
  </si>
  <si>
    <t>Evidence / Notes</t>
  </si>
  <si>
    <t>ISS-001</t>
  </si>
  <si>
    <t>Week 6</t>
  </si>
  <si>
    <t>Verified technical workstream outputs are not currently available in the PM record</t>
  </si>
  <si>
    <t>PM / Technical Tracks</t>
  </si>
  <si>
    <t>Full integration readiness cannot be confirmed</t>
  </si>
  <si>
    <t>Open</t>
  </si>
  <si>
    <t>Obtain/review verified outputs and update readiness</t>
  </si>
  <si>
    <t>Yes, near testing gate</t>
  </si>
  <si>
    <t>Current evidence limitation</t>
  </si>
  <si>
    <t>ISS-002</t>
  </si>
  <si>
    <t>Formal Week 4 Excel timeline was not previously finalised</t>
  </si>
  <si>
    <t>Potential inconsistency across PM artefacts</t>
  </si>
  <si>
    <t>Maintain one central relative-week timeline</t>
  </si>
  <si>
    <t>No</t>
  </si>
  <si>
    <t>Continuation from Week 5</t>
  </si>
  <si>
    <t>ISS-003</t>
  </si>
  <si>
    <t>Initial cross-track integration was blocked because no verified technical output was available at the time of the first coordination attempt; subsequently, a Data Analytics Week 5 output was received and reviewed with PM.</t>
  </si>
  <si>
    <t>PM / Data Science / Data Analytics</t>
  </si>
  <si>
    <t>Mandatory Week 6 integration evidence was initially incomplete; Data Analytics → PM integration is now evidenced.</t>
  </si>
  <si>
    <t>Resolved - Analytics Integration Completed</t>
  </si>
  <si>
    <t>Document the completed Data Analytics → PM exchange and resulting PM use; retain other technical-output gaps as separate issues.</t>
  </si>
  <si>
    <t>Yes, before/at Week 7 testing gate</t>
  </si>
  <si>
    <t>HealthConnect_Week5_Analysis.pdf + collaboration record</t>
  </si>
  <si>
    <t>Records material PM decisions, rationale and follow-up.</t>
  </si>
  <si>
    <t>Decision ID</t>
  </si>
  <si>
    <t>Decision</t>
  </si>
  <si>
    <t>Rationale</t>
  </si>
  <si>
    <t>Project Impact</t>
  </si>
  <si>
    <t>Follow-up</t>
  </si>
  <si>
    <t>DEC-001</t>
  </si>
  <si>
    <t>Use evidence-based integration readiness statuses</t>
  </si>
  <si>
    <t>Do not claim technical readiness without supporting output</t>
  </si>
  <si>
    <t>Improves reporting accuracy</t>
  </si>
  <si>
    <t>Update when evidence is verified</t>
  </si>
  <si>
    <t>DEC-002</t>
  </si>
  <si>
    <t>Prioritise dependencies that could affect Week 7 testing</t>
  </si>
  <si>
    <t>Testing depends on sufficiently integrated components</t>
  </si>
  <si>
    <t>Focuses PM attention on critical blockers</t>
  </si>
  <si>
    <t>Review before testing gate</t>
  </si>
  <si>
    <t>DEC-003</t>
  </si>
  <si>
    <t>Continue from Week 5 rather than rebuild identical PM deliverables</t>
  </si>
  <si>
    <t>Week 6 requires progression and meaningful improvement</t>
  </si>
  <si>
    <t>Preserves continuity</t>
  </si>
  <si>
    <t>Use Week 5 controls as baseline</t>
  </si>
  <si>
    <t>DEC-004</t>
  </si>
  <si>
    <t>Use relative project weeks in timeline</t>
  </si>
  <si>
    <t>No verified calendar dates in PM evidence</t>
  </si>
  <si>
    <t>Avoids unsupported dates</t>
  </si>
  <si>
    <t>Add actual dates only when verified</t>
  </si>
  <si>
    <t>DEC-005</t>
  </si>
  <si>
    <t>Do not claim cross-track integration as completed without an actual exchanged output and resulting change</t>
  </si>
  <si>
    <t>No verified technical workstream output was received despite an attempt to obtain one</t>
  </si>
  <si>
    <t>Protects reporting accuracy and keeps Week 6 evidence defensible</t>
  </si>
  <si>
    <t>Cross-track integration remains an open requirement for Week 7 follow-up</t>
  </si>
  <si>
    <t>DEC-006</t>
  </si>
  <si>
    <t>Use the Data Analytics Week 5 findings as a PM integration input and carry identified remaining analytical work into Week 7 preparation</t>
  </si>
  <si>
    <t>The received analysis provides evidence on no-show patterns and explicitly identifies remaining multi-variable analysis and appointment-time-slot KPI work</t>
  </si>
  <si>
    <t>Improves evidence-based prioritisation, dependency tracking and testing/refinement preparation without claiming downstream technical use</t>
  </si>
  <si>
    <t>Verify any later Data Science/ML use separately; monitor remaining analytics items before testing</t>
  </si>
  <si>
    <t>HealthConnect Week 6 — Project Decision Log</t>
  </si>
  <si>
    <t>HealthConnect Week 6 — Updated Project Timeline</t>
  </si>
  <si>
    <t>Relative project weeks are used to avoid unsupported calendar dates.</t>
  </si>
  <si>
    <t>WBS / Activity</t>
  </si>
  <si>
    <t>Week 4</t>
  </si>
  <si>
    <t>Week 5</t>
  </si>
  <si>
    <t>Week 7</t>
  </si>
  <si>
    <t>Week 8</t>
  </si>
  <si>
    <t>PM Status</t>
  </si>
  <si>
    <t>Notes</t>
  </si>
  <si>
    <t>1.0 Problem Understanding</t>
  </si>
  <si>
    <t>●</t>
  </si>
  <si>
    <t>Completed</t>
  </si>
  <si>
    <t>Week 4 foundation</t>
  </si>
  <si>
    <t>1.1 Project Initiation &amp; Planning</t>
  </si>
  <si>
    <t>Charter, scope, stakeholders, WBS</t>
  </si>
  <si>
    <t>1.2 Resource &amp; Data Review</t>
  </si>
  <si>
    <t>Completed / Continuing</t>
  </si>
  <si>
    <t>Approved resources remain in use</t>
  </si>
  <si>
    <t>1.3 Initial Risk &amp; Dependency Identification</t>
  </si>
  <si>
    <t>Updated</t>
  </si>
  <si>
    <t>Expanded into integration controls</t>
  </si>
  <si>
    <t>2.0 Analysis and Solution Design</t>
  </si>
  <si>
    <t>PM monitors dependencies</t>
  </si>
  <si>
    <t>2.1 Appointment Attendance Analysis</t>
  </si>
  <si>
    <t>Pending technical evidence</t>
  </si>
  <si>
    <t>Analytics output required for verified integration</t>
  </si>
  <si>
    <t>2.2 No-Show Prediction Problem Definition</t>
  </si>
  <si>
    <t>Relevant to Data Science</t>
  </si>
  <si>
    <t>2.3 AI Assistant Solution Design</t>
  </si>
  <si>
    <t>Relevant to GenAI</t>
  </si>
  <si>
    <t>2.4 ML System Design</t>
  </si>
  <si>
    <t>Relevant to ML integration</t>
  </si>
  <si>
    <t>2.5 Integrated Solution Planning</t>
  </si>
  <si>
    <t>PM coordinates integration/testing readiness</t>
  </si>
  <si>
    <t>3.0 Development</t>
  </si>
  <si>
    <t>Planned / Continuing</t>
  </si>
  <si>
    <t>Technical development progresses</t>
  </si>
  <si>
    <t>4.0 Testing and Refinement</t>
  </si>
  <si>
    <t>Planned</t>
  </si>
  <si>
    <t>Week 7 testing/refinement</t>
  </si>
  <si>
    <t>5.0 Final Presentation</t>
  </si>
  <si>
    <t>Planned for Week 8</t>
  </si>
  <si>
    <t>Final integration/presentation</t>
  </si>
  <si>
    <t>HealthConnect Week 6 — Updated Risk Register</t>
  </si>
  <si>
    <t>Focus: integration, readiness, dependencies and risks affecting Week 7 testing.</t>
  </si>
  <si>
    <t>Risk ID</t>
  </si>
  <si>
    <t>Risk Description</t>
  </si>
  <si>
    <t>Category</t>
  </si>
  <si>
    <t>Likelihood</t>
  </si>
  <si>
    <t>Risk Level</t>
  </si>
  <si>
    <t>Mitigation / Response</t>
  </si>
  <si>
    <t>Week 6 Change</t>
  </si>
  <si>
    <t>R001</t>
  </si>
  <si>
    <t>Appointment data may contain missing/incomplete records affecting analysis/model development</t>
  </si>
  <si>
    <t>Data</t>
  </si>
  <si>
    <t>Apply data-quality checks and document missing fields</t>
  </si>
  <si>
    <t>Data Analytics / Data Science</t>
  </si>
  <si>
    <t>Continues</t>
  </si>
  <si>
    <t>R002</t>
  </si>
  <si>
    <t>Project scope may expand beyond HealthConnect objectives</t>
  </si>
  <si>
    <t>Scope</t>
  </si>
  <si>
    <t>Maintain scope boundaries and change control</t>
  </si>
  <si>
    <t>R003</t>
  </si>
  <si>
    <t>Delays across tracks may affect dependent activities and integration</t>
  </si>
  <si>
    <t>Schedule / Integration</t>
  </si>
  <si>
    <t>Monitor dependencies and escalate blockers</t>
  </si>
  <si>
    <t>Reassessed for integration</t>
  </si>
  <si>
    <t>R004</t>
  </si>
  <si>
    <t>Conflicting priorities or limited availability may delay work</t>
  </si>
  <si>
    <t>Resource</t>
  </si>
  <si>
    <t>Clarify responsibilities, priorities and escalation</t>
  </si>
  <si>
    <t>R005</t>
  </si>
  <si>
    <t>Dependencies between workstreams may create integration bottlenecks</t>
  </si>
  <si>
    <t>Dependency / Integration</t>
  </si>
  <si>
    <t>Maintain integration register and readiness criteria</t>
  </si>
  <si>
    <t>Greater focus in Week 6</t>
  </si>
  <si>
    <t>R006</t>
  </si>
  <si>
    <t>AI assistant may provide information outside approved Knowledge Base</t>
  </si>
  <si>
    <t>AI / Safety</t>
  </si>
  <si>
    <t>Low</t>
  </si>
  <si>
    <t>Restrict scope and apply escalation/validation controls</t>
  </si>
  <si>
    <t>R007</t>
  </si>
  <si>
    <t>Requirements may not be clearly understood across workstreams</t>
  </si>
  <si>
    <t>Requirements</t>
  </si>
  <si>
    <t>Document requirements, assumptions and decisions</t>
  </si>
  <si>
    <t>R008</t>
  </si>
  <si>
    <t>Communication gaps may cause inconsistent integration understanding</t>
  </si>
  <si>
    <t>Communication</t>
  </si>
  <si>
    <t>Use coordination records and decision tracking</t>
  </si>
  <si>
    <t>R009</t>
  </si>
  <si>
    <t>Technical limitations may affect development or integration</t>
  </si>
  <si>
    <t>Identify dependencies and alternatives</t>
  </si>
  <si>
    <t>Technical Tracks</t>
  </si>
  <si>
    <t>R010</t>
  </si>
  <si>
    <t>Outputs may not be completed within internship timeframe</t>
  </si>
  <si>
    <t>Schedule</t>
  </si>
  <si>
    <t>Prioritise critical deliverables and monitor readiness</t>
  </si>
  <si>
    <t>R011</t>
  </si>
  <si>
    <t>Technical workstream evidence may not be available when PM needs to assess readiness</t>
  </si>
  <si>
    <t>Integration / Evidence</t>
  </si>
  <si>
    <t>Verify outputs by track; Data Analytics evidence is now available, while other technical outputs remain subject to verification.</t>
  </si>
  <si>
    <t>Partially reduced by receipt of Data Analytics evidence; remains active for other technical workstreams</t>
  </si>
  <si>
    <t>Confirmed as active constraint in Week 6</t>
  </si>
  <si>
    <t>R012</t>
  </si>
  <si>
    <t>Integration issues may remain unresolved before Week 7 testing</t>
  </si>
  <si>
    <t>Integration / Testing</t>
  </si>
  <si>
    <t>Use issue log, owners, priorities and readiness gate; carry remaining technical integration gaps into Week 7.</t>
  </si>
  <si>
    <t>Data Analytics → PM integration completed; other integration pathways remain unverified</t>
  </si>
  <si>
    <t>Remains active because integration evidence is incomplete</t>
  </si>
  <si>
    <t>HealthConnect Week 6 — PM Workbook Guide</t>
  </si>
  <si>
    <t>Central PM control workbook for integration, dependencies, issues, decisions, timeline and risks.</t>
  </si>
  <si>
    <t>Item</t>
  </si>
  <si>
    <t>Guidance</t>
  </si>
  <si>
    <t>Step 1</t>
  </si>
  <si>
    <t>Integration Map — workstream relationships and information/output flows.</t>
  </si>
  <si>
    <t>Step 2</t>
  </si>
  <si>
    <t>Integration Register — dependencies affecting integration readiness.</t>
  </si>
  <si>
    <t>Step 3</t>
  </si>
  <si>
    <t>Integration Readiness — evidence-based readiness assessment.</t>
  </si>
  <si>
    <t>Step 4</t>
  </si>
  <si>
    <t>Integration Issue Log — actual integration issues requiring action.</t>
  </si>
  <si>
    <t>Step 5</t>
  </si>
  <si>
    <t>Decision Log — material PM decisions and rationale.</t>
  </si>
  <si>
    <t>Step 6</t>
  </si>
  <si>
    <t>Updated Timeline — progression using relative project weeks.</t>
  </si>
  <si>
    <t>Step 7</t>
  </si>
  <si>
    <t>Updated Risk Register — Week 4/5 risks plus Week 6 integration risks.</t>
  </si>
  <si>
    <t>Evidence rule</t>
  </si>
  <si>
    <t>Never mark another track's technical output completed/integrated without evidence.</t>
  </si>
  <si>
    <t>Cross-track rule</t>
  </si>
  <si>
    <t>Communication alone is not integration; integration requires a meaningful change, improvement, decision or validated output.</t>
  </si>
  <si>
    <t>Obtain and verify remaining technical outputs and document any resulting integration changes.</t>
  </si>
  <si>
    <t>PM / Relevant Track Owners</t>
  </si>
  <si>
    <t>Full multi-workstream integration readiness cannot yet be confirmed.</t>
  </si>
  <si>
    <t>Data Science / ML Engineering / GenAI integration</t>
  </si>
  <si>
    <t>Other technical workstream integration evidence remains to be verified after the completed Data Analytics → PM exchange.</t>
  </si>
  <si>
    <t>UI-005</t>
  </si>
  <si>
    <t>Keep technical items as Pending Evidence until supporting artefacts are verified</t>
  </si>
  <si>
    <t>Risk of overstating project progress</t>
  </si>
  <si>
    <t>Technical readiness cannot be inferred from the PM plan alone</t>
  </si>
  <si>
    <t>UI-004</t>
  </si>
  <si>
    <t>Use the Week 6 relative-week timeline as the central schedule baseline</t>
  </si>
  <si>
    <t>Potential inconsistency across project artefacts</t>
  </si>
  <si>
    <t>Timeline / PM</t>
  </si>
  <si>
    <t>UI-003</t>
  </si>
  <si>
    <t>Continue verification of GenAI/Data Science/ML Engineering outputs; do not treat planned pathways as completed without evidence.</t>
  </si>
  <si>
    <t>PM / Relevant Track</t>
  </si>
  <si>
    <t>Other technical integration pathways remain unverified; the mandatory integration requirement has a documented Data Analytics → PM evidence point.</t>
  </si>
  <si>
    <t>Cross-Track Integration</t>
  </si>
  <si>
    <t>Additional cross-track integration may be required for other technical pathways, but one meaningful Data Analytics → PM activity is now evidenced.</t>
  </si>
  <si>
    <t>UI-002</t>
  </si>
  <si>
    <t>Obtain or review verified outputs and update readiness assessment</t>
  </si>
  <si>
    <t>Limits confirmation of full integration readiness</t>
  </si>
  <si>
    <t>Integration / PM</t>
  </si>
  <si>
    <t>Verified technical workstream outputs are not yet available in the PM evidence set</t>
  </si>
  <si>
    <t>UI-001</t>
  </si>
  <si>
    <t>Testing Gate Relevance</t>
  </si>
  <si>
    <t>Affected Area</t>
  </si>
  <si>
    <t>Issue</t>
  </si>
  <si>
    <t>Issues requiring attention before the project can be considered ready for Week 7 testing.</t>
  </si>
  <si>
    <t>Unresolved Issues</t>
  </si>
  <si>
    <t>Cross-Track Coordination</t>
  </si>
  <si>
    <t>Record actual Week 6 integration activity. Current entries distinguish planned/pending coordination from verified completion.</t>
  </si>
  <si>
    <t>Record ID</t>
  </si>
  <si>
    <t>Track Collaborated With</t>
  </si>
  <si>
    <t>Project Dependency</t>
  </si>
  <si>
    <t>Information / Output Received</t>
  </si>
  <si>
    <t>Information / Output Provided</t>
  </si>
  <si>
    <t>Integration Activity</t>
  </si>
  <si>
    <t>What Changed</t>
  </si>
  <si>
    <t>CTR-001</t>
  </si>
  <si>
    <t>Validated analytical findings informing PM/project decisions</t>
  </si>
  <si>
    <t>Week 5 Data Analytics analysis: booking lead time and previous no-show history showed strongest relationships with no-shows; appointment type had comparatively limited influence; remaining analysis was identified.</t>
  </si>
  <si>
    <t>PM integration requirements, dependency/risk context, and Week 7 testing/refinement considerations.</t>
  </si>
  <si>
    <t>Reviewed the received Data Analytics output against the HealthConnect objective and incorporated its findings/remaining work into PM integration and testing coordination.</t>
  </si>
  <si>
    <t>PM now has an evidence-based analytical input for prioritisation and Week 7 preparation; remaining analytics work is tracked. No downstream model use is claimed.</t>
  </si>
  <si>
    <t>HealthConnect_Week5_Analysis.pdf + collaboration messages</t>
  </si>
  <si>
    <t>CTR-002</t>
  </si>
  <si>
    <t>Candidate model/readiness information relevant to project sequencing</t>
  </si>
  <si>
    <t>Pending verification</t>
  </si>
  <si>
    <t>PM dependency, timeline and testing-readiness requirements</t>
  </si>
  <si>
    <t>Planned integration point identified; actual exchange not yet verified</t>
  </si>
  <si>
    <t>No change claimed until evidence is available</t>
  </si>
  <si>
    <t>Evidence to be attached/linked</t>
  </si>
  <si>
    <t>CTR-003</t>
  </si>
  <si>
    <t>Pipeline integration/readiness information</t>
  </si>
  <si>
    <t>PM integration controls and Week 7 testing coordination requirements</t>
  </si>
  <si>
    <t>CTR-004</t>
  </si>
  <si>
    <t>Assistant evaluation/refinement findings affecting safety/readiness</t>
  </si>
  <si>
    <t>PM risk, issue and readiness controls</t>
  </si>
  <si>
    <t>CTR-005</t>
  </si>
  <si>
    <t>Data Science / Data Analytics</t>
  </si>
  <si>
    <t>Actual cross-track output required to validate Week 6 integration</t>
  </si>
  <si>
    <t>No verified technical output received</t>
  </si>
  <si>
    <t>Requested a relevant Week 6 workstream update/output for integration review</t>
  </si>
  <si>
    <t>Attempted to obtain and review a technical-track output; no integration change could be validated</t>
  </si>
  <si>
    <t>No technical change claimed because no output was received</t>
  </si>
  <si>
    <t>Documented as an integration attempt/blocker rather than completed collaboration</t>
  </si>
  <si>
    <t>Week 6 coordination attempt; no technical artifact received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</si>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</sst>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6"/>
      <color rgb="FFFFFFFF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Cambria"/>
      <family val="1"/>
    </font>
    <font>
      <sz val="11"/>
      <color theme="1"/>
      <name val="Cambria"/>
      <family val="1"/>
    </font>
    <font>
      <i/>
      <sz val="11"/>
      <color rgb="FF666666"/>
      <name val="Cambria"/>
      <family val="1"/>
    </font>
    <font>
      <b/>
      <sz val="11"/>
      <color rgb="FFFFFFFF"/>
      <name val="Cambria"/>
      <family val="1"/>
    </font>
    <font>
      <b/>
      <sz val="16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/>
    <xf numFmtId="0" fontId="7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13"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textRotation="0" wrapText="0" indent="0" justifyLastLine="0" shrinkToFit="0" readingOrder="0"/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alignment textRotation="0" wrapText="0" indent="0" justifyLastLine="0" shrinkToFit="0" readingOrder="0"/>
    </dxf>
    <dxf>
      <border outline="0">
        <right style="thin">
          <color rgb="FFB7B7B7"/>
        </right>
      </border>
    </dxf>
    <dxf>
      <alignment textRotation="0" wrapText="0" indent="0" justifyLastLine="0" shrinkToFit="0" readingOrder="0"/>
    </dxf>
    <dxf>
      <border outline="0">
        <left style="thin">
          <color rgb="FFB7B7B7"/>
        </left>
      </border>
    </dxf>
    <dxf>
      <border outline="0">
        <left style="thin">
          <color rgb="FFB7B7B7"/>
        </left>
        <right style="thin">
          <color rgb="FFB7B7B7"/>
        </right>
      </border>
    </dxf>
    <dxf>
      <alignment horizontal="left" vertical="top" textRotation="0" wrapText="0" indent="0" justifyLastLine="0" shrinkToFit="0" readingOrder="0"/>
      <border outline="0">
        <right style="thin">
          <color rgb="FFB7B7B7"/>
        </right>
      </border>
    </dxf>
    <dxf>
      <alignment vertical="top" textRotation="0" wrapText="0" indent="0" justifyLastLine="0" shrinkToFit="0" readingOrder="0"/>
      <border outline="0">
        <left style="thin">
          <color rgb="FFB7B7B7"/>
        </left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12A7F-2A50-4131-88C6-D77E1885B5FF}" name="IntegrationMap" displayName="IntegrationMap" ref="A4:H10" headerRowDxfId="112">
  <autoFilter ref="A4:H10" xr:uid="{00000000-0009-0000-0100-000001000000}"/>
  <tableColumns count="8">
    <tableColumn id="1" xr3:uid="{00000000-0010-0000-0000-000001000000}" name="Integration ID"/>
    <tableColumn id="2" xr3:uid="{00000000-0010-0000-0000-000002000000}" name="From Workstream"/>
    <tableColumn id="3" xr3:uid="{00000000-0010-0000-0000-000003000000}" name="To Workstream"/>
    <tableColumn id="4" xr3:uid="{00000000-0010-0000-0000-000004000000}" name="Input / Output"/>
    <tableColumn id="5" xr3:uid="{00000000-0010-0000-0000-000005000000}" name="Why Relevant"/>
    <tableColumn id="6" xr3:uid="{00000000-0010-0000-0000-000006000000}" name="PM Coordination Role"/>
    <tableColumn id="7" xr3:uid="{00000000-0010-0000-0000-000007000000}" name="Evidence Required"/>
    <tableColumn id="8" xr3:uid="{00000000-0010-0000-00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BADAB-E10E-4A64-96AC-25887D4D48E9}" name="IntegrationRegister" displayName="IntegrationRegister" ref="A4:K10">
  <autoFilter ref="A4:K10" xr:uid="{00000000-0009-0000-0100-000002000000}"/>
  <tableColumns count="11">
    <tableColumn id="1" xr3:uid="{00000000-0010-0000-0100-000001000000}" name="ID" dataDxfId="110"/>
    <tableColumn id="2" xr3:uid="{00000000-0010-0000-0100-000002000000}" name="From Track" dataDxfId="111"/>
    <tableColumn id="3" xr3:uid="{00000000-0010-0000-0100-000003000000}" name="To Track"/>
    <tableColumn id="4" xr3:uid="{00000000-0010-0000-0100-000004000000}" name="Dependency / Required Output"/>
    <tableColumn id="5" xr3:uid="{00000000-0010-0000-0100-000005000000}" name="Type" dataDxfId="109"/>
    <tableColumn id="6" xr3:uid="{00000000-0010-0000-0100-000006000000}" name="Potential Impact"/>
    <tableColumn id="7" xr3:uid="{00000000-0010-0000-0100-000007000000}" name="Priority" dataDxfId="108"/>
    <tableColumn id="8" xr3:uid="{00000000-0010-0000-0100-000008000000}" name="Owner"/>
    <tableColumn id="9" xr3:uid="{00000000-0010-0000-0100-000009000000}" name="Status" dataDxfId="107"/>
    <tableColumn id="10" xr3:uid="{00000000-0010-0000-0100-00000A000000}" name="Required Action"/>
    <tableColumn id="11" xr3:uid="{00000000-0010-0000-0100-00000B000000}" name="Evidence" dataDxfId="1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6D74DD-5E95-4706-81E8-E062646BA917}" name="Readiness" displayName="Readiness" ref="A4:H9">
  <autoFilter ref="A4:H9" xr:uid="{196D74DD-5E95-4706-81E8-E062646BA917}"/>
  <tableColumns count="8">
    <tableColumn id="1" xr3:uid="{369A8DC0-9778-4AFC-886A-35B84F4AD2C0}" name="Workstream" dataDxfId="104"/>
    <tableColumn id="2" xr3:uid="{30C434C3-E8D0-4A07-8D74-B49014CF1546}" name="Expected Output" dataDxfId="105"/>
    <tableColumn id="3" xr3:uid="{EE57060F-8B3D-4849-9547-307614087829}" name="Evidence Available?" dataDxfId="103"/>
    <tableColumn id="4" xr3:uid="{7C133333-890A-4D07-997C-4C9B562D1B6D}" name="Readiness" dataDxfId="101"/>
    <tableColumn id="5" xr3:uid="{647F7DC2-B749-4E6F-9205-E55F13209419}" name="Reason / Gap" dataDxfId="102"/>
    <tableColumn id="6" xr3:uid="{A9D2BB1B-75C3-4F8E-B9E3-951268B0EF40}" name="Dependency"/>
    <tableColumn id="7" xr3:uid="{F5BCCADF-06AE-4009-9A1E-1B1861E26114}" name="Action Before Week 7" dataDxfId="100"/>
    <tableColumn id="8" xr3:uid="{11F3E29F-5689-4B34-8E51-E7BF74E25133}" name="PM Owner" data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0B743F-A92D-476C-B5CD-91268D84D0C5}" name="IssueLog" displayName="IssueLog" ref="A4:K7" headerRowDxfId="2" dataDxfId="0" totalsRowDxfId="1">
  <autoFilter ref="A4:K7" xr:uid="{A50B743F-A92D-476C-B5CD-91268D84D0C5}"/>
  <tableColumns count="11">
    <tableColumn id="1" xr3:uid="{6039E9A9-C25A-462E-B821-24007A0EB610}" name="Issue ID" dataDxfId="13"/>
    <tableColumn id="2" xr3:uid="{E89382D7-CC07-4415-B482-FB08695C4C96}" name="Week" dataDxfId="12"/>
    <tableColumn id="3" xr3:uid="{59D1C970-8168-4378-80AB-DBC86DFA75A7}" name="Issue Description" dataDxfId="11"/>
    <tableColumn id="4" xr3:uid="{4C726843-8FC0-4EE6-8DDA-F60429737C5A}" name="Affected Tracks" dataDxfId="10"/>
    <tableColumn id="5" xr3:uid="{75598322-9D6A-41EC-A9D2-413A9DD85FFA}" name="Impact" dataDxfId="9"/>
    <tableColumn id="6" xr3:uid="{F0EEBC1C-7413-40C7-B784-9D279FE280B8}" name="Priority" dataDxfId="8"/>
    <tableColumn id="7" xr3:uid="{1EB9E41D-9947-4422-8859-286C6675EB4C}" name="Owner" dataDxfId="7"/>
    <tableColumn id="8" xr3:uid="{26558D57-FDD4-4EEB-A6D4-65DF0D63885A}" name="Status" dataDxfId="6"/>
    <tableColumn id="9" xr3:uid="{684D2813-759B-452C-9ECC-4248718B2070}" name="Action / Resolution" dataDxfId="5"/>
    <tableColumn id="10" xr3:uid="{390F1CA0-AB6B-41A1-8531-972B64C893FC}" name="Escalation" dataDxfId="4"/>
    <tableColumn id="11" xr3:uid="{04850628-A052-45B9-8478-99F1325704B0}" name="Evidence / Note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18443D-7CA9-4D66-A195-1B5AEF0BDE81}" name="DecisionLog" displayName="DecisionLog" ref="A4:H11" headerRowDxfId="16" dataDxfId="14" totalsRowDxfId="15">
  <autoFilter ref="A4:H11" xr:uid="{C018443D-7CA9-4D66-A195-1B5AEF0BDE81}"/>
  <tableColumns count="8">
    <tableColumn id="1" xr3:uid="{6F841B18-BBD1-4174-B579-0A3F235A7826}" name="Decision ID" dataDxfId="24"/>
    <tableColumn id="2" xr3:uid="{E0354E4F-BCC3-486F-8BAE-4CE0F7642A4C}" name="Week" dataDxfId="23"/>
    <tableColumn id="3" xr3:uid="{7E2D341D-0C8E-427C-A562-8EDDB9DE3B92}" name="Decision" dataDxfId="22"/>
    <tableColumn id="4" xr3:uid="{81AFAC6B-B436-4547-813F-9C008BE6761F}" name="Rationale" dataDxfId="21"/>
    <tableColumn id="5" xr3:uid="{1283C17E-E407-4B49-9E8C-76F50DED3422}" name="Project Impact" dataDxfId="20"/>
    <tableColumn id="6" xr3:uid="{EB57C27B-B230-47A4-AA43-1C1F43B94412}" name="Owner" dataDxfId="19"/>
    <tableColumn id="7" xr3:uid="{ACBEF449-28A4-45E8-8C72-90365D368926}" name="Status" dataDxfId="18"/>
    <tableColumn id="8" xr3:uid="{66443BBC-0132-4260-8E4C-A42C41764D85}" name="Follow-up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776FA7-3C8E-432A-8449-CF6CB9E64E81}" name="Timeline" displayName="Timeline" ref="A4:H17" headerRowDxfId="27" dataDxfId="25" totalsRowDxfId="26">
  <autoFilter ref="A4:H17" xr:uid="{E0776FA7-3C8E-432A-8449-CF6CB9E64E81}"/>
  <tableColumns count="8">
    <tableColumn id="1" xr3:uid="{7B2ED689-7FB9-45B9-82FF-F40B3DED1CC9}" name="WBS / Activity" dataDxfId="35"/>
    <tableColumn id="2" xr3:uid="{27AD3E8D-FF39-48A7-A95D-244C8CB42F8A}" name="Week 4" dataDxfId="34"/>
    <tableColumn id="3" xr3:uid="{B19B81B9-CBDD-47AA-886E-02B39DFDAAE6}" name="Week 5" dataDxfId="33"/>
    <tableColumn id="4" xr3:uid="{4AE5F8DB-078D-4B2B-BF4F-E274C0065DAF}" name="Week 6" dataDxfId="32"/>
    <tableColumn id="5" xr3:uid="{4EAA72F5-304E-4D71-B972-3B1173B62E2B}" name="Week 7" dataDxfId="31"/>
    <tableColumn id="6" xr3:uid="{47B07B4B-6770-44DA-A798-A77A244BB2C9}" name="Week 8" dataDxfId="30"/>
    <tableColumn id="7" xr3:uid="{CF5B619E-D3EC-44C9-A205-C54E272E7A88}" name="PM Status" dataDxfId="29"/>
    <tableColumn id="8" xr3:uid="{F1A62EB7-7EDF-4FF0-AD55-C51BD16408AB}" name="Notes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1109B9-71FF-4E5D-A451-9E34924A5C20}" name="RiskRegister" displayName="RiskRegister" ref="A4:J16" headerRowDxfId="38" dataDxfId="36" totalsRowDxfId="37">
  <autoFilter ref="A4:J16" xr:uid="{311109B9-71FF-4E5D-A451-9E34924A5C20}"/>
  <tableColumns count="10">
    <tableColumn id="1" xr3:uid="{62DE9DED-2EB8-4138-99A5-9073845017DF}" name="Risk ID" dataDxfId="48"/>
    <tableColumn id="2" xr3:uid="{4EC4727E-C1F7-4C7C-BBC1-3F765D6BA5C6}" name="Risk Description" dataDxfId="47"/>
    <tableColumn id="3" xr3:uid="{B6D74E08-DEAA-4E61-BFE9-DD231D79F317}" name="Category" dataDxfId="46"/>
    <tableColumn id="4" xr3:uid="{B4C6BBB1-EA93-404C-AA8E-FAFF58C5ED37}" name="Likelihood" dataDxfId="45"/>
    <tableColumn id="5" xr3:uid="{68834ACC-7766-469F-8528-123EADD92174}" name="Impact" dataDxfId="44"/>
    <tableColumn id="6" xr3:uid="{51A55C70-FA24-4638-AD4E-C1A5BFAB9582}" name="Risk Level" dataDxfId="43"/>
    <tableColumn id="7" xr3:uid="{BB2A698D-E0E1-4E36-81D7-EF28C6ED9F73}" name="Mitigation / Response" dataDxfId="42"/>
    <tableColumn id="8" xr3:uid="{C8F35928-E4AA-4E65-BD33-569041027CC7}" name="Owner" dataDxfId="41"/>
    <tableColumn id="9" xr3:uid="{0C591E28-937A-4A01-99E0-19053D793C6C}" name="Status" dataDxfId="40"/>
    <tableColumn id="10" xr3:uid="{9E252703-B182-4898-B561-D44F1F46E9CF}" name="Week 6 Change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E11F2F-79DF-41C4-B7A2-D8F7F76E2C9D}" name="Guide" displayName="Guide" ref="A4:B13" headerRowDxfId="51" dataDxfId="49" totalsRowDxfId="50">
  <autoFilter ref="A4:B13" xr:uid="{54E11F2F-79DF-41C4-B7A2-D8F7F76E2C9D}"/>
  <tableColumns count="2">
    <tableColumn id="1" xr3:uid="{B61F7CBE-C595-4221-927F-CDC5ED511CB3}" name="Item" dataDxfId="53"/>
    <tableColumn id="2" xr3:uid="{4ABFF0E6-FFAD-4EE4-8E3E-F4DCB3DF7EC2}" name="Guidance" dataDxfId="5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1F5BC-E153-4A2D-880F-E90CBA1D0A7B}" name="UnresolvedIssues" displayName="UnresolvedIssues" ref="A4:I9" headerRowDxfId="68" dataDxfId="66" totalsRowDxfId="67">
  <autoFilter ref="A4:I9" xr:uid="{00000000-0009-0000-0100-000009000000}"/>
  <tableColumns count="9">
    <tableColumn id="1" xr3:uid="{00000000-0010-0000-0800-000001000000}" name="Issue ID" dataDxfId="77"/>
    <tableColumn id="2" xr3:uid="{00000000-0010-0000-0800-000002000000}" name="Issue" dataDxfId="76"/>
    <tableColumn id="3" xr3:uid="{00000000-0010-0000-0800-000003000000}" name="Affected Area" dataDxfId="75"/>
    <tableColumn id="4" xr3:uid="{00000000-0010-0000-0800-000004000000}" name="Impact" dataDxfId="74"/>
    <tableColumn id="5" xr3:uid="{00000000-0010-0000-0800-000005000000}" name="Priority" dataDxfId="73"/>
    <tableColumn id="6" xr3:uid="{00000000-0010-0000-0800-000006000000}" name="Owner" dataDxfId="72"/>
    <tableColumn id="7" xr3:uid="{00000000-0010-0000-0800-000007000000}" name="Status" dataDxfId="71"/>
    <tableColumn id="8" xr3:uid="{00000000-0010-0000-0800-000008000000}" name="Required Action" dataDxfId="70"/>
    <tableColumn id="9" xr3:uid="{00000000-0010-0000-0800-000009000000}" name="Testing Gate Relevance" dataDxfId="6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81BD6F-8400-4B91-9DAE-8938A7CD7CB3}" name="CrossTrackCoordination" displayName="CrossTrackCoordination" ref="A4:I9" headerRowDxfId="56" dataDxfId="54" totalsRowDxfId="55">
  <autoFilter ref="A4:I9" xr:uid="{3481BD6F-8400-4B91-9DAE-8938A7CD7CB3}"/>
  <tableColumns count="9">
    <tableColumn id="1" xr3:uid="{D0E980DC-169B-4AB7-AA49-7E7253787224}" name="Record ID" dataDxfId="65"/>
    <tableColumn id="2" xr3:uid="{480872B1-03CE-489E-B759-B7A3336B85B9}" name="Track Collaborated With" dataDxfId="64"/>
    <tableColumn id="3" xr3:uid="{AB1810D6-80C3-445F-8949-1FF727B91835}" name="Project Dependency" dataDxfId="63"/>
    <tableColumn id="4" xr3:uid="{0079408D-3437-4F9C-88A5-3748DD29F689}" name="Information / Output Received" dataDxfId="62"/>
    <tableColumn id="5" xr3:uid="{A7A12175-4544-4A8E-99F6-47655C07ACAE}" name="Information / Output Provided" dataDxfId="61"/>
    <tableColumn id="6" xr3:uid="{19E47670-CCA2-42EC-BCB4-8D37418E4E07}" name="Integration Activity" dataDxfId="60"/>
    <tableColumn id="7" xr3:uid="{1A58ED42-FB60-4A20-8FD5-6CA35714A0BC}" name="What Changed" dataDxfId="59"/>
    <tableColumn id="8" xr3:uid="{BB260AC1-DEBA-49C0-B79F-898F4B8DCDAF}" name="Evidence" dataDxfId="58"/>
    <tableColumn id="9" xr3:uid="{FD93503E-5217-4531-9880-94C7AC03BE58}" name="Status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3A92-3440-4284-9B4A-F0A1A75E56F9}">
  <dimension ref="A1:H10"/>
  <sheetViews>
    <sheetView tabSelected="1" workbookViewId="0">
      <selection activeCell="D3" sqref="D3"/>
    </sheetView>
  </sheetViews>
  <sheetFormatPr defaultRowHeight="15" x14ac:dyDescent="0.25"/>
  <cols>
    <col min="1" max="1" width="19.5703125" customWidth="1"/>
    <col min="2" max="2" width="22.85546875" customWidth="1"/>
    <col min="3" max="3" width="18.85546875" customWidth="1"/>
    <col min="4" max="4" width="34" customWidth="1"/>
    <col min="5" max="5" width="24.28515625" customWidth="1"/>
    <col min="6" max="6" width="26.5703125" customWidth="1"/>
    <col min="7" max="7" width="32.42578125" customWidth="1"/>
    <col min="8" max="8" width="26.42578125" customWidth="1"/>
  </cols>
  <sheetData>
    <row r="1" spans="1:8" ht="21" x14ac:dyDescent="0.25">
      <c r="A1" s="3" t="s">
        <v>47</v>
      </c>
      <c r="B1" s="4"/>
      <c r="C1" s="4"/>
      <c r="D1" s="4"/>
      <c r="E1" s="4"/>
      <c r="F1" s="4"/>
      <c r="G1" s="4"/>
      <c r="H1" s="4"/>
    </row>
    <row r="2" spans="1:8" x14ac:dyDescent="0.25">
      <c r="A2" s="5" t="s">
        <v>46</v>
      </c>
      <c r="B2" s="4"/>
      <c r="C2" s="4"/>
      <c r="D2" s="4"/>
      <c r="E2" s="4"/>
      <c r="F2" s="4"/>
      <c r="G2" s="4"/>
      <c r="H2" s="4"/>
    </row>
    <row r="4" spans="1:8" x14ac:dyDescent="0.25">
      <c r="A4" s="2" t="s">
        <v>45</v>
      </c>
      <c r="B4" s="2" t="s">
        <v>44</v>
      </c>
      <c r="C4" s="2" t="s">
        <v>43</v>
      </c>
      <c r="D4" s="2" t="s">
        <v>42</v>
      </c>
      <c r="E4" s="2" t="s">
        <v>41</v>
      </c>
      <c r="F4" s="2" t="s">
        <v>40</v>
      </c>
      <c r="G4" s="2" t="s">
        <v>39</v>
      </c>
      <c r="H4" s="2" t="s">
        <v>38</v>
      </c>
    </row>
    <row r="5" spans="1:8" ht="30" x14ac:dyDescent="0.25">
      <c r="A5" s="1" t="s">
        <v>37</v>
      </c>
      <c r="B5" s="1" t="s">
        <v>36</v>
      </c>
      <c r="C5" s="1" t="s">
        <v>24</v>
      </c>
      <c r="D5" s="1" t="s">
        <v>35</v>
      </c>
      <c r="E5" s="1" t="s">
        <v>34</v>
      </c>
      <c r="F5" s="1" t="s">
        <v>33</v>
      </c>
      <c r="G5" s="1" t="s">
        <v>32</v>
      </c>
      <c r="H5" s="1" t="s">
        <v>0</v>
      </c>
    </row>
    <row r="6" spans="1:8" ht="30" x14ac:dyDescent="0.25">
      <c r="A6" s="1" t="s">
        <v>31</v>
      </c>
      <c r="B6" s="1" t="s">
        <v>24</v>
      </c>
      <c r="C6" s="1" t="s">
        <v>25</v>
      </c>
      <c r="D6" s="1" t="s">
        <v>30</v>
      </c>
      <c r="E6" s="1" t="s">
        <v>29</v>
      </c>
      <c r="F6" s="1" t="s">
        <v>28</v>
      </c>
      <c r="G6" s="1" t="s">
        <v>27</v>
      </c>
      <c r="H6" s="1" t="s">
        <v>0</v>
      </c>
    </row>
    <row r="7" spans="1:8" ht="30" x14ac:dyDescent="0.25">
      <c r="A7" s="1" t="s">
        <v>26</v>
      </c>
      <c r="B7" s="1" t="s">
        <v>25</v>
      </c>
      <c r="C7" s="1" t="s">
        <v>24</v>
      </c>
      <c r="D7" s="1" t="s">
        <v>23</v>
      </c>
      <c r="E7" s="1" t="s">
        <v>22</v>
      </c>
      <c r="F7" s="1" t="s">
        <v>21</v>
      </c>
      <c r="G7" s="1" t="s">
        <v>20</v>
      </c>
      <c r="H7" s="1" t="s">
        <v>0</v>
      </c>
    </row>
    <row r="8" spans="1:8" ht="30" x14ac:dyDescent="0.25">
      <c r="A8" s="1" t="s">
        <v>19</v>
      </c>
      <c r="B8" s="1" t="s">
        <v>18</v>
      </c>
      <c r="C8" s="1" t="s">
        <v>12</v>
      </c>
      <c r="D8" s="1" t="s">
        <v>17</v>
      </c>
      <c r="E8" s="1" t="s">
        <v>16</v>
      </c>
      <c r="F8" s="1" t="s">
        <v>15</v>
      </c>
      <c r="G8" s="1" t="s">
        <v>14</v>
      </c>
      <c r="H8" s="1" t="s">
        <v>0</v>
      </c>
    </row>
    <row r="9" spans="1:8" ht="30" x14ac:dyDescent="0.25">
      <c r="A9" s="1" t="s">
        <v>13</v>
      </c>
      <c r="B9" s="1" t="s">
        <v>12</v>
      </c>
      <c r="C9" s="1" t="s">
        <v>5</v>
      </c>
      <c r="D9" s="1" t="s">
        <v>11</v>
      </c>
      <c r="E9" s="1" t="s">
        <v>10</v>
      </c>
      <c r="F9" s="1" t="s">
        <v>9</v>
      </c>
      <c r="G9" s="1" t="s">
        <v>8</v>
      </c>
      <c r="H9" s="1" t="s">
        <v>7</v>
      </c>
    </row>
    <row r="10" spans="1:8" ht="30" x14ac:dyDescent="0.25">
      <c r="A10" s="1" t="s">
        <v>6</v>
      </c>
      <c r="B10" s="1" t="s">
        <v>5</v>
      </c>
      <c r="C10" s="1" t="s">
        <v>5</v>
      </c>
      <c r="D10" s="1" t="s">
        <v>4</v>
      </c>
      <c r="E10" s="1" t="s">
        <v>3</v>
      </c>
      <c r="F10" s="1" t="s">
        <v>2</v>
      </c>
      <c r="G10" s="1" t="s">
        <v>1</v>
      </c>
      <c r="H10" s="1" t="s">
        <v>0</v>
      </c>
    </row>
  </sheetData>
  <mergeCells count="2">
    <mergeCell ref="A2:H2"/>
    <mergeCell ref="A1:H1"/>
  </mergeCells>
  <conditionalFormatting sqref="H5:H10">
    <cfRule type="cellIs" dxfId="98" priority="1" operator="equal">
      <formula>"Completed"</formula>
    </cfRule>
    <cfRule type="cellIs" dxfId="97" priority="2" operator="equal">
      <formula>"Pending Evidence"</formula>
    </cfRule>
    <cfRule type="cellIs" dxfId="96" priority="3" operator="equal">
      <formula>"Open"</formula>
    </cfRule>
  </conditionalFormatting>
  <dataValidations count="1">
    <dataValidation type="list" allowBlank="1" sqref="H5:H10" xr:uid="{00000000-0002-0000-0000-000000000000}">
      <formula1>"Open,In Progress,Active,Completed,Pending Evidence,Resolved,Closed,PM Control"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EA2-B106-4FE6-BF26-A855C903EC4F}">
  <dimension ref="A1:K10"/>
  <sheetViews>
    <sheetView workbookViewId="0">
      <selection activeCell="K4" sqref="K4:K10"/>
    </sheetView>
  </sheetViews>
  <sheetFormatPr defaultRowHeight="15" x14ac:dyDescent="0.25"/>
  <cols>
    <col min="1" max="1" width="11.85546875" customWidth="1"/>
    <col min="2" max="2" width="20.28515625" customWidth="1"/>
    <col min="3" max="3" width="20.5703125" customWidth="1"/>
    <col min="4" max="4" width="38.42578125" customWidth="1"/>
    <col min="5" max="5" width="20.140625" customWidth="1"/>
    <col min="6" max="6" width="31.28515625" customWidth="1"/>
    <col min="7" max="7" width="12.140625" bestFit="1" customWidth="1"/>
    <col min="8" max="8" width="16.5703125" bestFit="1" customWidth="1"/>
    <col min="9" max="9" width="25.5703125" customWidth="1"/>
    <col min="10" max="10" width="51.7109375" customWidth="1"/>
    <col min="11" max="11" width="36.140625" customWidth="1"/>
  </cols>
  <sheetData>
    <row r="1" spans="1:11" ht="21" x14ac:dyDescent="0.35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7" t="s">
        <v>101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x14ac:dyDescent="0.25">
      <c r="A4" s="12" t="s">
        <v>100</v>
      </c>
      <c r="B4" s="12" t="s">
        <v>99</v>
      </c>
      <c r="C4" s="6" t="s">
        <v>98</v>
      </c>
      <c r="D4" s="12" t="s">
        <v>97</v>
      </c>
      <c r="E4" s="12" t="s">
        <v>96</v>
      </c>
      <c r="F4" s="6" t="s">
        <v>95</v>
      </c>
      <c r="G4" s="12" t="s">
        <v>94</v>
      </c>
      <c r="H4" s="12" t="s">
        <v>93</v>
      </c>
      <c r="I4" s="12" t="s">
        <v>38</v>
      </c>
      <c r="J4" s="12" t="s">
        <v>92</v>
      </c>
      <c r="K4" s="12" t="s">
        <v>91</v>
      </c>
    </row>
    <row r="5" spans="1:11" ht="30" x14ac:dyDescent="0.25">
      <c r="A5" s="11" t="s">
        <v>90</v>
      </c>
      <c r="B5" s="11" t="s">
        <v>36</v>
      </c>
      <c r="C5" s="1" t="s">
        <v>24</v>
      </c>
      <c r="D5" s="1" t="s">
        <v>89</v>
      </c>
      <c r="E5" s="11" t="s">
        <v>88</v>
      </c>
      <c r="F5" s="1" t="s">
        <v>87</v>
      </c>
      <c r="G5" s="11" t="s">
        <v>52</v>
      </c>
      <c r="H5" s="1" t="s">
        <v>51</v>
      </c>
      <c r="I5" s="11" t="s">
        <v>86</v>
      </c>
      <c r="J5" s="1" t="s">
        <v>85</v>
      </c>
      <c r="K5" s="11" t="s">
        <v>48</v>
      </c>
    </row>
    <row r="6" spans="1:11" ht="30" x14ac:dyDescent="0.25">
      <c r="A6" s="11" t="s">
        <v>84</v>
      </c>
      <c r="B6" s="11" t="s">
        <v>24</v>
      </c>
      <c r="C6" s="1" t="s">
        <v>25</v>
      </c>
      <c r="D6" s="1" t="s">
        <v>83</v>
      </c>
      <c r="E6" s="11" t="s">
        <v>77</v>
      </c>
      <c r="F6" s="1" t="s">
        <v>82</v>
      </c>
      <c r="G6" s="11" t="s">
        <v>52</v>
      </c>
      <c r="H6" s="1" t="s">
        <v>81</v>
      </c>
      <c r="I6" s="11" t="s">
        <v>0</v>
      </c>
      <c r="J6" s="1" t="s">
        <v>80</v>
      </c>
      <c r="K6" s="11" t="s">
        <v>66</v>
      </c>
    </row>
    <row r="7" spans="1:11" ht="30" x14ac:dyDescent="0.25">
      <c r="A7" s="11" t="s">
        <v>79</v>
      </c>
      <c r="B7" s="11" t="s">
        <v>25</v>
      </c>
      <c r="C7" s="1" t="s">
        <v>24</v>
      </c>
      <c r="D7" s="1" t="s">
        <v>78</v>
      </c>
      <c r="E7" s="11" t="s">
        <v>77</v>
      </c>
      <c r="F7" s="1" t="s">
        <v>76</v>
      </c>
      <c r="G7" s="11" t="s">
        <v>52</v>
      </c>
      <c r="H7" s="1" t="s">
        <v>75</v>
      </c>
      <c r="I7" s="11" t="s">
        <v>0</v>
      </c>
      <c r="J7" s="1" t="s">
        <v>74</v>
      </c>
      <c r="K7" s="11" t="s">
        <v>66</v>
      </c>
    </row>
    <row r="8" spans="1:11" ht="30" x14ac:dyDescent="0.25">
      <c r="A8" s="11" t="s">
        <v>73</v>
      </c>
      <c r="B8" s="11" t="s">
        <v>18</v>
      </c>
      <c r="C8" s="1" t="s">
        <v>12</v>
      </c>
      <c r="D8" s="1" t="s">
        <v>72</v>
      </c>
      <c r="E8" s="11" t="s">
        <v>71</v>
      </c>
      <c r="F8" s="1" t="s">
        <v>70</v>
      </c>
      <c r="G8" s="11" t="s">
        <v>69</v>
      </c>
      <c r="H8" s="1" t="s">
        <v>68</v>
      </c>
      <c r="I8" s="11" t="s">
        <v>0</v>
      </c>
      <c r="J8" s="1" t="s">
        <v>67</v>
      </c>
      <c r="K8" s="11" t="s">
        <v>66</v>
      </c>
    </row>
    <row r="9" spans="1:11" ht="30" x14ac:dyDescent="0.25">
      <c r="A9" s="11" t="s">
        <v>65</v>
      </c>
      <c r="B9" s="11" t="s">
        <v>12</v>
      </c>
      <c r="C9" s="1" t="s">
        <v>64</v>
      </c>
      <c r="D9" s="1" t="s">
        <v>63</v>
      </c>
      <c r="E9" s="11" t="s">
        <v>62</v>
      </c>
      <c r="F9" s="1" t="s">
        <v>61</v>
      </c>
      <c r="G9" s="11" t="s">
        <v>52</v>
      </c>
      <c r="H9" s="1" t="s">
        <v>60</v>
      </c>
      <c r="I9" s="11" t="s">
        <v>59</v>
      </c>
      <c r="J9" s="1" t="s">
        <v>58</v>
      </c>
      <c r="K9" s="11" t="s">
        <v>57</v>
      </c>
    </row>
    <row r="10" spans="1:11" s="9" customFormat="1" ht="45" x14ac:dyDescent="0.25">
      <c r="A10" s="10" t="s">
        <v>56</v>
      </c>
      <c r="B10" s="10" t="s">
        <v>36</v>
      </c>
      <c r="C10" s="9" t="s">
        <v>12</v>
      </c>
      <c r="D10" s="9" t="s">
        <v>55</v>
      </c>
      <c r="E10" s="10" t="s">
        <v>54</v>
      </c>
      <c r="F10" s="9" t="s">
        <v>53</v>
      </c>
      <c r="G10" s="10" t="s">
        <v>52</v>
      </c>
      <c r="H10" s="9" t="s">
        <v>51</v>
      </c>
      <c r="I10" s="10" t="s">
        <v>50</v>
      </c>
      <c r="J10" s="9" t="s">
        <v>49</v>
      </c>
      <c r="K10" s="10" t="s">
        <v>48</v>
      </c>
    </row>
  </sheetData>
  <mergeCells count="2">
    <mergeCell ref="A1:K1"/>
    <mergeCell ref="A2:K2"/>
  </mergeCells>
  <conditionalFormatting sqref="I5:I8 I10">
    <cfRule type="cellIs" dxfId="95" priority="4" operator="equal">
      <formula>"Completed"</formula>
    </cfRule>
    <cfRule type="cellIs" dxfId="94" priority="5" operator="equal">
      <formula>"Pending Evidence"</formula>
    </cfRule>
    <cfRule type="cellIs" dxfId="93" priority="6" operator="equal">
      <formula>"Open"</formula>
    </cfRule>
  </conditionalFormatting>
  <conditionalFormatting sqref="I9">
    <cfRule type="cellIs" dxfId="92" priority="1" operator="equal">
      <formula>"Completed"</formula>
    </cfRule>
    <cfRule type="cellIs" dxfId="91" priority="2" operator="equal">
      <formula>"Pending Evidence"</formula>
    </cfRule>
    <cfRule type="cellIs" dxfId="90" priority="3" operator="equal">
      <formula>"Open"</formula>
    </cfRule>
  </conditionalFormatting>
  <dataValidations count="1">
    <dataValidation type="list" allowBlank="1" sqref="I5:I10" xr:uid="{00000000-0002-0000-0100-000000000000}">
      <formula1>"Open,In Progress,Active,Completed,Pending Evidence,Resolved,Closed,PM Control"</formula1>
    </dataValidation>
  </dataValidations>
  <pageMargins left="0.7" right="0.7" top="0.75" bottom="0.75" header="0.3" footer="0.3"/>
  <ignoredErrors>
    <ignoredError sqref="I10 I5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7137-C307-4E0F-B0E9-3476DA4758C9}">
  <dimension ref="A1:H9"/>
  <sheetViews>
    <sheetView workbookViewId="0">
      <selection sqref="A1:H2"/>
    </sheetView>
  </sheetViews>
  <sheetFormatPr defaultRowHeight="15" x14ac:dyDescent="0.25"/>
  <cols>
    <col min="1" max="1" width="19.7109375" bestFit="1" customWidth="1"/>
    <col min="2" max="2" width="35.140625" customWidth="1"/>
    <col min="3" max="3" width="29" customWidth="1"/>
    <col min="4" max="4" width="34.42578125" customWidth="1"/>
    <col min="5" max="5" width="65.140625" customWidth="1"/>
    <col min="6" max="6" width="40.140625" customWidth="1"/>
    <col min="7" max="7" width="51.85546875" customWidth="1"/>
    <col min="8" max="8" width="15" bestFit="1" customWidth="1"/>
  </cols>
  <sheetData>
    <row r="1" spans="1:8" ht="21" x14ac:dyDescent="0.35">
      <c r="A1" s="8" t="s">
        <v>103</v>
      </c>
      <c r="B1" s="8"/>
      <c r="C1" s="8"/>
      <c r="D1" s="8"/>
      <c r="E1" s="8"/>
      <c r="F1" s="8"/>
      <c r="G1" s="8"/>
      <c r="H1" s="8"/>
    </row>
    <row r="2" spans="1:8" x14ac:dyDescent="0.25">
      <c r="A2" s="7" t="s">
        <v>104</v>
      </c>
      <c r="B2" s="7"/>
      <c r="C2" s="7"/>
      <c r="D2" s="7"/>
      <c r="E2" s="7"/>
      <c r="F2" s="7"/>
      <c r="G2" s="7"/>
      <c r="H2" s="7"/>
    </row>
    <row r="4" spans="1:8" x14ac:dyDescent="0.25">
      <c r="A4" s="13" t="s">
        <v>105</v>
      </c>
      <c r="B4" s="13" t="s">
        <v>106</v>
      </c>
      <c r="C4" s="6" t="s">
        <v>107</v>
      </c>
      <c r="D4" s="12" t="s">
        <v>108</v>
      </c>
      <c r="E4" s="12" t="s">
        <v>109</v>
      </c>
      <c r="F4" s="12" t="s">
        <v>110</v>
      </c>
      <c r="G4" s="12" t="s">
        <v>111</v>
      </c>
      <c r="H4" s="12" t="s">
        <v>112</v>
      </c>
    </row>
    <row r="5" spans="1:8" ht="30" x14ac:dyDescent="0.25">
      <c r="A5" s="14" t="s">
        <v>36</v>
      </c>
      <c r="B5" s="11" t="s">
        <v>113</v>
      </c>
      <c r="C5" s="1" t="s">
        <v>114</v>
      </c>
      <c r="D5" s="11" t="s">
        <v>115</v>
      </c>
      <c r="E5" s="1" t="s">
        <v>116</v>
      </c>
      <c r="F5" s="1" t="s">
        <v>117</v>
      </c>
      <c r="G5" s="1" t="s">
        <v>118</v>
      </c>
      <c r="H5" s="11" t="s">
        <v>60</v>
      </c>
    </row>
    <row r="6" spans="1:8" x14ac:dyDescent="0.25">
      <c r="A6" s="14" t="s">
        <v>24</v>
      </c>
      <c r="B6" s="11" t="s">
        <v>119</v>
      </c>
      <c r="C6" s="1" t="s">
        <v>120</v>
      </c>
      <c r="D6" s="11" t="s">
        <v>0</v>
      </c>
      <c r="E6" s="1" t="s">
        <v>121</v>
      </c>
      <c r="F6" s="1" t="s">
        <v>122</v>
      </c>
      <c r="G6" s="1" t="s">
        <v>123</v>
      </c>
      <c r="H6" s="11" t="s">
        <v>60</v>
      </c>
    </row>
    <row r="7" spans="1:8" x14ac:dyDescent="0.25">
      <c r="A7" s="14" t="s">
        <v>25</v>
      </c>
      <c r="B7" s="11" t="s">
        <v>124</v>
      </c>
      <c r="C7" s="1" t="s">
        <v>120</v>
      </c>
      <c r="D7" s="11" t="s">
        <v>0</v>
      </c>
      <c r="E7" s="1" t="s">
        <v>125</v>
      </c>
      <c r="F7" s="1" t="s">
        <v>126</v>
      </c>
      <c r="G7" s="1" t="s">
        <v>127</v>
      </c>
      <c r="H7" s="11" t="s">
        <v>60</v>
      </c>
    </row>
    <row r="8" spans="1:8" x14ac:dyDescent="0.25">
      <c r="A8" s="14" t="s">
        <v>128</v>
      </c>
      <c r="B8" s="11" t="s">
        <v>129</v>
      </c>
      <c r="C8" s="1" t="s">
        <v>120</v>
      </c>
      <c r="D8" s="11" t="s">
        <v>0</v>
      </c>
      <c r="E8" s="1" t="s">
        <v>130</v>
      </c>
      <c r="F8" s="1" t="s">
        <v>131</v>
      </c>
      <c r="G8" s="1" t="s">
        <v>132</v>
      </c>
      <c r="H8" s="11" t="s">
        <v>60</v>
      </c>
    </row>
    <row r="9" spans="1:8" ht="30" x14ac:dyDescent="0.25">
      <c r="A9" s="14" t="s">
        <v>12</v>
      </c>
      <c r="B9" s="11" t="s">
        <v>133</v>
      </c>
      <c r="C9" s="1" t="s">
        <v>134</v>
      </c>
      <c r="D9" s="11" t="s">
        <v>135</v>
      </c>
      <c r="E9" s="1" t="s">
        <v>136</v>
      </c>
      <c r="F9" s="1" t="s">
        <v>137</v>
      </c>
      <c r="G9" s="1" t="s">
        <v>138</v>
      </c>
      <c r="H9" s="11" t="s">
        <v>60</v>
      </c>
    </row>
  </sheetData>
  <mergeCells count="2">
    <mergeCell ref="A1:H1"/>
    <mergeCell ref="A2:H2"/>
  </mergeCells>
  <conditionalFormatting sqref="D5:D9">
    <cfRule type="cellIs" dxfId="89" priority="1" operator="equal">
      <formula>"Completed"</formula>
    </cfRule>
    <cfRule type="cellIs" dxfId="88" priority="2" operator="equal">
      <formula>"Pending Evidence"</formula>
    </cfRule>
    <cfRule type="cellIs" dxfId="87" priority="3" operator="equal">
      <formula>"Open"</formula>
    </cfRule>
  </conditionalFormatting>
  <dataValidations count="1">
    <dataValidation type="list" allowBlank="1" sqref="D5:D9" xr:uid="{2A9D84FC-633D-4D9D-9CF2-B087965B25E7}">
      <formula1>"Open,In Progress,Active,Completed,Pending Evidence,Resolved,Closed,PM Control"</formula1>
    </dataValidation>
  </dataValidations>
  <pageMargins left="0.7" right="0.7" top="0.75" bottom="0.75" header="0.3" footer="0.3"/>
  <ignoredErrors>
    <ignoredError sqref="D5" listDataValidatio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8F22-8851-4591-B0C8-5C1C0849C46C}">
  <dimension ref="A1:K7"/>
  <sheetViews>
    <sheetView workbookViewId="0">
      <selection activeCell="C17" sqref="C17"/>
    </sheetView>
  </sheetViews>
  <sheetFormatPr defaultRowHeight="14.25" x14ac:dyDescent="0.2"/>
  <cols>
    <col min="1" max="1" width="12.42578125" style="16" bestFit="1" customWidth="1"/>
    <col min="2" max="2" width="10.85546875" style="16" bestFit="1" customWidth="1"/>
    <col min="3" max="3" width="38" style="16" customWidth="1"/>
    <col min="4" max="4" width="31.5703125" style="16" bestFit="1" customWidth="1"/>
    <col min="5" max="5" width="32.42578125" style="16" customWidth="1"/>
    <col min="6" max="6" width="12.7109375" style="16" customWidth="1"/>
    <col min="7" max="7" width="12.5703125" style="16" customWidth="1"/>
    <col min="8" max="8" width="40.28515625" style="16" bestFit="1" customWidth="1"/>
    <col min="9" max="9" width="121.42578125" style="16" bestFit="1" customWidth="1"/>
    <col min="10" max="10" width="32.140625" style="16" bestFit="1" customWidth="1"/>
    <col min="11" max="11" width="54.28515625" style="16" bestFit="1" customWidth="1"/>
    <col min="12" max="16384" width="9.140625" style="16"/>
  </cols>
  <sheetData>
    <row r="1" spans="1:11" ht="20.25" x14ac:dyDescent="0.2">
      <c r="A1" s="15" t="s">
        <v>139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">
      <c r="A2" s="17" t="s">
        <v>140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x14ac:dyDescent="0.2">
      <c r="A4" s="25" t="s">
        <v>141</v>
      </c>
      <c r="B4" s="25" t="s">
        <v>142</v>
      </c>
      <c r="C4" s="25" t="s">
        <v>143</v>
      </c>
      <c r="D4" s="25" t="s">
        <v>144</v>
      </c>
      <c r="E4" s="25" t="s">
        <v>145</v>
      </c>
      <c r="F4" s="25" t="s">
        <v>94</v>
      </c>
      <c r="G4" s="25" t="s">
        <v>93</v>
      </c>
      <c r="H4" s="25" t="s">
        <v>38</v>
      </c>
      <c r="I4" s="25" t="s">
        <v>146</v>
      </c>
      <c r="J4" s="25" t="s">
        <v>147</v>
      </c>
      <c r="K4" s="25" t="s">
        <v>148</v>
      </c>
    </row>
    <row r="5" spans="1:11" ht="42.75" x14ac:dyDescent="0.2">
      <c r="A5" s="19" t="s">
        <v>149</v>
      </c>
      <c r="B5" s="20" t="s">
        <v>150</v>
      </c>
      <c r="C5" s="20" t="s">
        <v>151</v>
      </c>
      <c r="D5" s="19" t="s">
        <v>152</v>
      </c>
      <c r="E5" s="20" t="s">
        <v>153</v>
      </c>
      <c r="F5" s="19" t="s">
        <v>52</v>
      </c>
      <c r="G5" s="19" t="s">
        <v>60</v>
      </c>
      <c r="H5" s="19" t="s">
        <v>154</v>
      </c>
      <c r="I5" s="20" t="s">
        <v>155</v>
      </c>
      <c r="J5" s="19" t="s">
        <v>156</v>
      </c>
      <c r="K5" s="19" t="s">
        <v>157</v>
      </c>
    </row>
    <row r="6" spans="1:11" ht="28.5" x14ac:dyDescent="0.2">
      <c r="A6" s="19" t="s">
        <v>158</v>
      </c>
      <c r="B6" s="20" t="s">
        <v>150</v>
      </c>
      <c r="C6" s="20" t="s">
        <v>159</v>
      </c>
      <c r="D6" s="19" t="s">
        <v>60</v>
      </c>
      <c r="E6" s="20" t="s">
        <v>160</v>
      </c>
      <c r="F6" s="19" t="s">
        <v>69</v>
      </c>
      <c r="G6" s="19" t="s">
        <v>60</v>
      </c>
      <c r="H6" s="19" t="s">
        <v>154</v>
      </c>
      <c r="I6" s="20" t="s">
        <v>161</v>
      </c>
      <c r="J6" s="19" t="s">
        <v>162</v>
      </c>
      <c r="K6" s="19" t="s">
        <v>163</v>
      </c>
    </row>
    <row r="7" spans="1:11" x14ac:dyDescent="0.2">
      <c r="A7" s="21" t="s">
        <v>164</v>
      </c>
      <c r="B7" s="16" t="s">
        <v>150</v>
      </c>
      <c r="C7" s="16" t="s">
        <v>165</v>
      </c>
      <c r="D7" s="21" t="s">
        <v>166</v>
      </c>
      <c r="E7" s="16" t="s">
        <v>167</v>
      </c>
      <c r="F7" s="21" t="s">
        <v>52</v>
      </c>
      <c r="G7" s="21" t="s">
        <v>60</v>
      </c>
      <c r="H7" s="21" t="s">
        <v>168</v>
      </c>
      <c r="I7" s="16" t="s">
        <v>169</v>
      </c>
      <c r="J7" s="21" t="s">
        <v>170</v>
      </c>
      <c r="K7" s="21" t="s">
        <v>171</v>
      </c>
    </row>
  </sheetData>
  <mergeCells count="2">
    <mergeCell ref="A1:K1"/>
    <mergeCell ref="A2:K2"/>
  </mergeCells>
  <conditionalFormatting sqref="H5:H6">
    <cfRule type="cellIs" dxfId="86" priority="1" operator="equal">
      <formula>"Completed"</formula>
    </cfRule>
    <cfRule type="cellIs" dxfId="85" priority="2" operator="equal">
      <formula>"Pending Evidence"</formula>
    </cfRule>
    <cfRule type="cellIs" dxfId="84" priority="3" operator="equal">
      <formula>"Open"</formula>
    </cfRule>
  </conditionalFormatting>
  <dataValidations count="1">
    <dataValidation type="list" allowBlank="1" sqref="H5:H6" xr:uid="{2FD7A39E-7F66-4C7F-8B88-506F717EAEF7}">
      <formula1>"Open,In Progress,Active,Completed,Pending Evidence,Resolved,Closed,PM Control"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2D27-1107-49AA-B2A9-1E22F32CD868}">
  <dimension ref="A1:H11"/>
  <sheetViews>
    <sheetView workbookViewId="0">
      <selection activeCell="B14" sqref="B14"/>
    </sheetView>
  </sheetViews>
  <sheetFormatPr defaultRowHeight="14.25" x14ac:dyDescent="0.2"/>
  <cols>
    <col min="1" max="1" width="16.28515625" style="16" customWidth="1"/>
    <col min="2" max="2" width="98.28515625" style="16" bestFit="1" customWidth="1"/>
    <col min="3" max="3" width="124.140625" style="16" bestFit="1" customWidth="1"/>
    <col min="4" max="4" width="143.7109375" style="16" bestFit="1" customWidth="1"/>
    <col min="5" max="5" width="27.42578125" style="16" customWidth="1"/>
    <col min="6" max="6" width="11.5703125" style="16" bestFit="1" customWidth="1"/>
    <col min="7" max="7" width="11" style="16" bestFit="1" customWidth="1"/>
    <col min="8" max="8" width="89.7109375" style="16" bestFit="1" customWidth="1"/>
    <col min="9" max="16384" width="9.140625" style="16"/>
  </cols>
  <sheetData>
    <row r="1" spans="1:8" s="16" customFormat="1" ht="20.25" x14ac:dyDescent="0.2">
      <c r="A1" s="26" t="s">
        <v>208</v>
      </c>
      <c r="B1" s="26"/>
      <c r="C1" s="26"/>
      <c r="D1" s="26"/>
      <c r="E1" s="26"/>
      <c r="F1" s="26"/>
      <c r="G1" s="26"/>
      <c r="H1" s="26"/>
    </row>
    <row r="2" spans="1:8" s="16" customFormat="1" x14ac:dyDescent="0.2">
      <c r="A2" s="17" t="s">
        <v>172</v>
      </c>
      <c r="B2" s="27"/>
      <c r="C2" s="27"/>
      <c r="D2" s="27"/>
      <c r="E2" s="27"/>
      <c r="F2" s="27"/>
      <c r="G2" s="27"/>
      <c r="H2" s="27"/>
    </row>
    <row r="4" spans="1:8" s="16" customFormat="1" x14ac:dyDescent="0.2">
      <c r="A4" s="18" t="s">
        <v>173</v>
      </c>
      <c r="B4" s="25" t="s">
        <v>142</v>
      </c>
      <c r="C4" s="25" t="s">
        <v>174</v>
      </c>
      <c r="D4" s="25" t="s">
        <v>175</v>
      </c>
      <c r="E4" s="28" t="s">
        <v>176</v>
      </c>
      <c r="F4" s="28" t="s">
        <v>93</v>
      </c>
      <c r="G4" s="28" t="s">
        <v>38</v>
      </c>
      <c r="H4" s="28" t="s">
        <v>177</v>
      </c>
    </row>
    <row r="5" spans="1:8" s="16" customFormat="1" x14ac:dyDescent="0.2">
      <c r="A5" s="19" t="s">
        <v>178</v>
      </c>
      <c r="B5" s="19" t="s">
        <v>150</v>
      </c>
      <c r="C5" s="19" t="s">
        <v>179</v>
      </c>
      <c r="D5" s="19" t="s">
        <v>180</v>
      </c>
      <c r="E5" s="19" t="s">
        <v>181</v>
      </c>
      <c r="F5" s="19" t="s">
        <v>60</v>
      </c>
      <c r="G5" s="19" t="s">
        <v>59</v>
      </c>
      <c r="H5" s="19" t="s">
        <v>182</v>
      </c>
    </row>
    <row r="6" spans="1:8" s="16" customFormat="1" x14ac:dyDescent="0.2">
      <c r="A6" s="19" t="s">
        <v>183</v>
      </c>
      <c r="B6" s="19" t="s">
        <v>150</v>
      </c>
      <c r="C6" s="19" t="s">
        <v>184</v>
      </c>
      <c r="D6" s="19" t="s">
        <v>185</v>
      </c>
      <c r="E6" s="19" t="s">
        <v>186</v>
      </c>
      <c r="F6" s="19" t="s">
        <v>60</v>
      </c>
      <c r="G6" s="19" t="s">
        <v>59</v>
      </c>
      <c r="H6" s="19" t="s">
        <v>187</v>
      </c>
    </row>
    <row r="7" spans="1:8" s="16" customFormat="1" x14ac:dyDescent="0.2">
      <c r="A7" s="19" t="s">
        <v>188</v>
      </c>
      <c r="B7" s="19" t="s">
        <v>150</v>
      </c>
      <c r="C7" s="19" t="s">
        <v>189</v>
      </c>
      <c r="D7" s="19" t="s">
        <v>190</v>
      </c>
      <c r="E7" s="19" t="s">
        <v>191</v>
      </c>
      <c r="F7" s="19" t="s">
        <v>60</v>
      </c>
      <c r="G7" s="19" t="s">
        <v>59</v>
      </c>
      <c r="H7" s="19" t="s">
        <v>192</v>
      </c>
    </row>
    <row r="8" spans="1:8" s="16" customFormat="1" x14ac:dyDescent="0.2">
      <c r="A8" s="19" t="s">
        <v>193</v>
      </c>
      <c r="B8" s="19" t="s">
        <v>150</v>
      </c>
      <c r="C8" s="19" t="s">
        <v>194</v>
      </c>
      <c r="D8" s="19" t="s">
        <v>195</v>
      </c>
      <c r="E8" s="19" t="s">
        <v>196</v>
      </c>
      <c r="F8" s="19" t="s">
        <v>60</v>
      </c>
      <c r="G8" s="19" t="s">
        <v>59</v>
      </c>
      <c r="H8" s="19" t="s">
        <v>197</v>
      </c>
    </row>
    <row r="9" spans="1:8" s="16" customFormat="1" x14ac:dyDescent="0.2">
      <c r="A9" s="21" t="s">
        <v>198</v>
      </c>
      <c r="B9" s="21" t="s">
        <v>199</v>
      </c>
      <c r="C9" s="21" t="s">
        <v>200</v>
      </c>
      <c r="D9" s="21" t="s">
        <v>201</v>
      </c>
      <c r="E9" s="21" t="s">
        <v>202</v>
      </c>
      <c r="F9" s="21"/>
      <c r="G9" s="21"/>
      <c r="H9" s="21"/>
    </row>
    <row r="10" spans="1:8" s="16" customFormat="1" x14ac:dyDescent="0.2">
      <c r="A10" s="21" t="s">
        <v>203</v>
      </c>
      <c r="B10" s="21" t="s">
        <v>150</v>
      </c>
      <c r="C10" s="21" t="s">
        <v>204</v>
      </c>
      <c r="D10" s="21" t="s">
        <v>205</v>
      </c>
      <c r="E10" s="21" t="s">
        <v>206</v>
      </c>
      <c r="F10" s="21" t="s">
        <v>60</v>
      </c>
      <c r="G10" s="21" t="s">
        <v>59</v>
      </c>
      <c r="H10" s="21" t="s">
        <v>207</v>
      </c>
    </row>
    <row r="11" spans="1:8" s="16" customFormat="1" x14ac:dyDescent="0.2">
      <c r="A11" s="21"/>
      <c r="B11" s="21"/>
      <c r="C11" s="21"/>
      <c r="D11" s="21"/>
      <c r="E11" s="21"/>
      <c r="F11" s="21"/>
      <c r="G11" s="21"/>
      <c r="H11" s="21"/>
    </row>
  </sheetData>
  <mergeCells count="2">
    <mergeCell ref="A1:H1"/>
    <mergeCell ref="A2:H2"/>
  </mergeCells>
  <conditionalFormatting sqref="G5:G10">
    <cfRule type="cellIs" dxfId="83" priority="1" operator="equal">
      <formula>"Completed"</formula>
    </cfRule>
    <cfRule type="cellIs" dxfId="82" priority="2" operator="equal">
      <formula>"Pending Evidence"</formula>
    </cfRule>
    <cfRule type="cellIs" dxfId="81" priority="3" operator="equal">
      <formula>"Open"</formula>
    </cfRule>
  </conditionalFormatting>
  <dataValidations count="1">
    <dataValidation type="list" allowBlank="1" sqref="G5:G10" xr:uid="{A2370571-21F7-4A2C-87FD-F062D1ADAD67}">
      <formula1>"Open,In Progress,Active,Completed,Pending Evidence,Resolved,Closed,PM Control"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00E8-654D-4C30-90EB-45C7DB852A49}">
  <dimension ref="A1:H17"/>
  <sheetViews>
    <sheetView workbookViewId="0">
      <selection activeCell="J6" sqref="J6"/>
    </sheetView>
  </sheetViews>
  <sheetFormatPr defaultRowHeight="15" x14ac:dyDescent="0.25"/>
  <cols>
    <col min="1" max="1" width="26.140625" customWidth="1"/>
    <col min="2" max="6" width="12.28515625" bestFit="1" customWidth="1"/>
    <col min="7" max="7" width="20" bestFit="1" customWidth="1"/>
    <col min="8" max="8" width="28.42578125" bestFit="1" customWidth="1"/>
  </cols>
  <sheetData>
    <row r="1" spans="1:8" ht="20.25" x14ac:dyDescent="0.3">
      <c r="A1" s="22" t="s">
        <v>209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210</v>
      </c>
      <c r="B2" s="23"/>
      <c r="C2" s="23"/>
      <c r="D2" s="23"/>
      <c r="E2" s="23"/>
      <c r="F2" s="23"/>
      <c r="G2" s="23"/>
      <c r="H2" s="23"/>
    </row>
    <row r="4" spans="1:8" x14ac:dyDescent="0.25">
      <c r="A4" s="24" t="s">
        <v>211</v>
      </c>
      <c r="B4" s="24" t="s">
        <v>212</v>
      </c>
      <c r="C4" s="24" t="s">
        <v>213</v>
      </c>
      <c r="D4" s="24" t="s">
        <v>150</v>
      </c>
      <c r="E4" s="24" t="s">
        <v>214</v>
      </c>
      <c r="F4" s="24" t="s">
        <v>215</v>
      </c>
      <c r="G4" s="24" t="s">
        <v>216</v>
      </c>
      <c r="H4" s="24" t="s">
        <v>217</v>
      </c>
    </row>
    <row r="5" spans="1:8" x14ac:dyDescent="0.25">
      <c r="A5" s="20" t="s">
        <v>218</v>
      </c>
      <c r="B5" s="20" t="s">
        <v>219</v>
      </c>
      <c r="C5" s="20"/>
      <c r="D5" s="20"/>
      <c r="E5" s="20"/>
      <c r="F5" s="20"/>
      <c r="G5" s="20" t="s">
        <v>220</v>
      </c>
      <c r="H5" s="20" t="s">
        <v>221</v>
      </c>
    </row>
    <row r="6" spans="1:8" ht="28.5" x14ac:dyDescent="0.25">
      <c r="A6" s="20" t="s">
        <v>222</v>
      </c>
      <c r="B6" s="20" t="s">
        <v>219</v>
      </c>
      <c r="C6" s="20"/>
      <c r="D6" s="20"/>
      <c r="E6" s="20"/>
      <c r="F6" s="20"/>
      <c r="G6" s="20" t="s">
        <v>220</v>
      </c>
      <c r="H6" s="20" t="s">
        <v>223</v>
      </c>
    </row>
    <row r="7" spans="1:8" ht="28.5" x14ac:dyDescent="0.25">
      <c r="A7" s="20" t="s">
        <v>224</v>
      </c>
      <c r="B7" s="20" t="s">
        <v>219</v>
      </c>
      <c r="C7" s="20" t="s">
        <v>219</v>
      </c>
      <c r="D7" s="20"/>
      <c r="E7" s="20"/>
      <c r="F7" s="20"/>
      <c r="G7" s="20" t="s">
        <v>225</v>
      </c>
      <c r="H7" s="20" t="s">
        <v>226</v>
      </c>
    </row>
    <row r="8" spans="1:8" ht="28.5" x14ac:dyDescent="0.25">
      <c r="A8" s="20" t="s">
        <v>227</v>
      </c>
      <c r="B8" s="20" t="s">
        <v>219</v>
      </c>
      <c r="C8" s="20" t="s">
        <v>219</v>
      </c>
      <c r="D8" s="20"/>
      <c r="E8" s="20"/>
      <c r="F8" s="20"/>
      <c r="G8" s="20" t="s">
        <v>228</v>
      </c>
      <c r="H8" s="20" t="s">
        <v>229</v>
      </c>
    </row>
    <row r="9" spans="1:8" ht="28.5" x14ac:dyDescent="0.25">
      <c r="A9" s="20" t="s">
        <v>230</v>
      </c>
      <c r="B9" s="20"/>
      <c r="C9" s="20" t="s">
        <v>219</v>
      </c>
      <c r="D9" s="20" t="s">
        <v>219</v>
      </c>
      <c r="E9" s="20"/>
      <c r="F9" s="20"/>
      <c r="G9" s="20" t="s">
        <v>135</v>
      </c>
      <c r="H9" s="20" t="s">
        <v>231</v>
      </c>
    </row>
    <row r="10" spans="1:8" ht="28.5" x14ac:dyDescent="0.25">
      <c r="A10" s="20" t="s">
        <v>232</v>
      </c>
      <c r="B10" s="20"/>
      <c r="C10" s="20" t="s">
        <v>219</v>
      </c>
      <c r="D10" s="20" t="s">
        <v>219</v>
      </c>
      <c r="E10" s="20"/>
      <c r="F10" s="20"/>
      <c r="G10" s="20" t="s">
        <v>233</v>
      </c>
      <c r="H10" s="20" t="s">
        <v>234</v>
      </c>
    </row>
    <row r="11" spans="1:8" ht="28.5" x14ac:dyDescent="0.25">
      <c r="A11" s="20" t="s">
        <v>235</v>
      </c>
      <c r="B11" s="20"/>
      <c r="C11" s="20" t="s">
        <v>219</v>
      </c>
      <c r="D11" s="20" t="s">
        <v>219</v>
      </c>
      <c r="E11" s="20"/>
      <c r="F11" s="20"/>
      <c r="G11" s="20" t="s">
        <v>233</v>
      </c>
      <c r="H11" s="20" t="s">
        <v>236</v>
      </c>
    </row>
    <row r="12" spans="1:8" ht="28.5" x14ac:dyDescent="0.25">
      <c r="A12" s="20" t="s">
        <v>237</v>
      </c>
      <c r="B12" s="20"/>
      <c r="C12" s="20" t="s">
        <v>219</v>
      </c>
      <c r="D12" s="20" t="s">
        <v>219</v>
      </c>
      <c r="E12" s="20"/>
      <c r="F12" s="20"/>
      <c r="G12" s="20" t="s">
        <v>233</v>
      </c>
      <c r="H12" s="20" t="s">
        <v>238</v>
      </c>
    </row>
    <row r="13" spans="1:8" ht="28.5" x14ac:dyDescent="0.25">
      <c r="A13" s="20" t="s">
        <v>239</v>
      </c>
      <c r="B13" s="20"/>
      <c r="C13" s="20" t="s">
        <v>219</v>
      </c>
      <c r="D13" s="20" t="s">
        <v>219</v>
      </c>
      <c r="E13" s="20"/>
      <c r="F13" s="20"/>
      <c r="G13" s="20" t="s">
        <v>233</v>
      </c>
      <c r="H13" s="20" t="s">
        <v>240</v>
      </c>
    </row>
    <row r="14" spans="1:8" ht="28.5" x14ac:dyDescent="0.25">
      <c r="A14" s="20" t="s">
        <v>241</v>
      </c>
      <c r="B14" s="20"/>
      <c r="C14" s="20"/>
      <c r="D14" s="20" t="s">
        <v>219</v>
      </c>
      <c r="E14" s="20" t="s">
        <v>219</v>
      </c>
      <c r="F14" s="20"/>
      <c r="G14" s="20" t="s">
        <v>135</v>
      </c>
      <c r="H14" s="20" t="s">
        <v>242</v>
      </c>
    </row>
    <row r="15" spans="1:8" ht="28.5" x14ac:dyDescent="0.25">
      <c r="A15" s="20" t="s">
        <v>243</v>
      </c>
      <c r="B15" s="20"/>
      <c r="C15" s="20"/>
      <c r="D15" s="20" t="s">
        <v>219</v>
      </c>
      <c r="E15" s="20" t="s">
        <v>219</v>
      </c>
      <c r="F15" s="20" t="s">
        <v>219</v>
      </c>
      <c r="G15" s="20" t="s">
        <v>244</v>
      </c>
      <c r="H15" s="20" t="s">
        <v>245</v>
      </c>
    </row>
    <row r="16" spans="1:8" x14ac:dyDescent="0.25">
      <c r="A16" s="20" t="s">
        <v>246</v>
      </c>
      <c r="B16" s="20"/>
      <c r="C16" s="20"/>
      <c r="D16" s="20"/>
      <c r="E16" s="20" t="s">
        <v>219</v>
      </c>
      <c r="F16" s="20" t="s">
        <v>219</v>
      </c>
      <c r="G16" s="20" t="s">
        <v>247</v>
      </c>
      <c r="H16" s="20" t="s">
        <v>248</v>
      </c>
    </row>
    <row r="17" spans="1:8" ht="28.5" x14ac:dyDescent="0.25">
      <c r="A17" s="20" t="s">
        <v>249</v>
      </c>
      <c r="B17" s="20"/>
      <c r="C17" s="20"/>
      <c r="D17" s="20"/>
      <c r="E17" s="20"/>
      <c r="F17" s="20"/>
      <c r="G17" s="20" t="s">
        <v>250</v>
      </c>
      <c r="H17" s="20" t="s">
        <v>251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1C4E-0AF2-4738-AD3D-3B867BDB041B}">
  <dimension ref="A1:K16"/>
  <sheetViews>
    <sheetView zoomScale="112" zoomScaleNormal="112" workbookViewId="0">
      <pane ySplit="4" topLeftCell="A5" activePane="bottomLeft" state="frozen"/>
      <selection pane="bottomLeft" activeCell="G9" sqref="G9"/>
    </sheetView>
  </sheetViews>
  <sheetFormatPr defaultRowHeight="14.25" x14ac:dyDescent="0.2"/>
  <cols>
    <col min="1" max="1" width="13.140625" style="16" bestFit="1" customWidth="1"/>
    <col min="2" max="2" width="71.7109375" style="16" customWidth="1"/>
    <col min="3" max="3" width="21" style="16" customWidth="1"/>
    <col min="4" max="4" width="15.7109375" style="16" customWidth="1"/>
    <col min="5" max="5" width="11.5703125" style="16" bestFit="1" customWidth="1"/>
    <col min="6" max="6" width="14.28515625" style="16" bestFit="1" customWidth="1"/>
    <col min="7" max="7" width="62.140625" style="16" customWidth="1"/>
    <col min="8" max="8" width="26.42578125" style="16" customWidth="1"/>
    <col min="9" max="9" width="11" style="16" bestFit="1" customWidth="1"/>
    <col min="10" max="10" width="42" style="16" customWidth="1"/>
    <col min="11" max="11" width="54.85546875" style="16" bestFit="1" customWidth="1"/>
    <col min="12" max="16384" width="9.140625" style="16"/>
  </cols>
  <sheetData>
    <row r="1" spans="1:11" ht="20.25" x14ac:dyDescent="0.2">
      <c r="A1" s="15" t="s">
        <v>252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x14ac:dyDescent="0.2">
      <c r="A2" s="17" t="s">
        <v>253</v>
      </c>
      <c r="B2" s="17"/>
      <c r="C2" s="17"/>
      <c r="D2" s="17"/>
      <c r="E2" s="17"/>
      <c r="F2" s="17"/>
      <c r="G2" s="17"/>
      <c r="H2" s="17"/>
      <c r="I2" s="17"/>
      <c r="J2" s="17"/>
    </row>
    <row r="4" spans="1:11" x14ac:dyDescent="0.2">
      <c r="A4" s="25" t="s">
        <v>254</v>
      </c>
      <c r="B4" s="25" t="s">
        <v>255</v>
      </c>
      <c r="C4" s="24" t="s">
        <v>256</v>
      </c>
      <c r="D4" s="24" t="s">
        <v>257</v>
      </c>
      <c r="E4" s="24" t="s">
        <v>145</v>
      </c>
      <c r="F4" s="24" t="s">
        <v>258</v>
      </c>
      <c r="G4" s="24" t="s">
        <v>259</v>
      </c>
      <c r="H4" s="24" t="s">
        <v>93</v>
      </c>
      <c r="I4" s="24" t="s">
        <v>38</v>
      </c>
      <c r="J4" s="24" t="s">
        <v>260</v>
      </c>
    </row>
    <row r="5" spans="1:11" ht="28.5" x14ac:dyDescent="0.2">
      <c r="A5" s="20" t="s">
        <v>261</v>
      </c>
      <c r="B5" s="20" t="s">
        <v>262</v>
      </c>
      <c r="C5" s="20" t="s">
        <v>263</v>
      </c>
      <c r="D5" s="20" t="s">
        <v>69</v>
      </c>
      <c r="E5" s="20" t="s">
        <v>52</v>
      </c>
      <c r="F5" s="20" t="s">
        <v>52</v>
      </c>
      <c r="G5" s="20" t="s">
        <v>264</v>
      </c>
      <c r="H5" s="20" t="s">
        <v>265</v>
      </c>
      <c r="I5" s="20" t="s">
        <v>154</v>
      </c>
      <c r="J5" s="20" t="s">
        <v>266</v>
      </c>
    </row>
    <row r="6" spans="1:11" x14ac:dyDescent="0.2">
      <c r="A6" s="20" t="s">
        <v>267</v>
      </c>
      <c r="B6" s="20" t="s">
        <v>268</v>
      </c>
      <c r="C6" s="20" t="s">
        <v>269</v>
      </c>
      <c r="D6" s="20" t="s">
        <v>69</v>
      </c>
      <c r="E6" s="20" t="s">
        <v>52</v>
      </c>
      <c r="F6" s="20" t="s">
        <v>52</v>
      </c>
      <c r="G6" s="20" t="s">
        <v>270</v>
      </c>
      <c r="H6" s="20" t="s">
        <v>60</v>
      </c>
      <c r="I6" s="20" t="s">
        <v>154</v>
      </c>
      <c r="J6" s="20" t="s">
        <v>266</v>
      </c>
    </row>
    <row r="7" spans="1:11" ht="28.5" x14ac:dyDescent="0.2">
      <c r="A7" s="20" t="s">
        <v>271</v>
      </c>
      <c r="B7" s="20" t="s">
        <v>272</v>
      </c>
      <c r="C7" s="20" t="s">
        <v>273</v>
      </c>
      <c r="D7" s="20" t="s">
        <v>69</v>
      </c>
      <c r="E7" s="20" t="s">
        <v>52</v>
      </c>
      <c r="F7" s="20" t="s">
        <v>52</v>
      </c>
      <c r="G7" s="20" t="s">
        <v>274</v>
      </c>
      <c r="H7" s="20" t="s">
        <v>60</v>
      </c>
      <c r="I7" s="20" t="s">
        <v>154</v>
      </c>
      <c r="J7" s="20" t="s">
        <v>275</v>
      </c>
    </row>
    <row r="8" spans="1:11" x14ac:dyDescent="0.2">
      <c r="A8" s="20" t="s">
        <v>276</v>
      </c>
      <c r="B8" s="20" t="s">
        <v>277</v>
      </c>
      <c r="C8" s="20" t="s">
        <v>278</v>
      </c>
      <c r="D8" s="20" t="s">
        <v>69</v>
      </c>
      <c r="E8" s="20" t="s">
        <v>69</v>
      </c>
      <c r="F8" s="20" t="s">
        <v>69</v>
      </c>
      <c r="G8" s="20" t="s">
        <v>279</v>
      </c>
      <c r="H8" s="20" t="s">
        <v>60</v>
      </c>
      <c r="I8" s="20" t="s">
        <v>154</v>
      </c>
      <c r="J8" s="20" t="s">
        <v>266</v>
      </c>
    </row>
    <row r="9" spans="1:11" ht="28.5" x14ac:dyDescent="0.2">
      <c r="A9" s="20" t="s">
        <v>280</v>
      </c>
      <c r="B9" s="20" t="s">
        <v>281</v>
      </c>
      <c r="C9" s="20" t="s">
        <v>282</v>
      </c>
      <c r="D9" s="20" t="s">
        <v>69</v>
      </c>
      <c r="E9" s="20" t="s">
        <v>52</v>
      </c>
      <c r="F9" s="20" t="s">
        <v>52</v>
      </c>
      <c r="G9" s="20" t="s">
        <v>283</v>
      </c>
      <c r="H9" s="20" t="s">
        <v>60</v>
      </c>
      <c r="I9" s="20" t="s">
        <v>154</v>
      </c>
      <c r="J9" s="20" t="s">
        <v>284</v>
      </c>
    </row>
    <row r="10" spans="1:11" x14ac:dyDescent="0.2">
      <c r="A10" s="20" t="s">
        <v>285</v>
      </c>
      <c r="B10" s="20" t="s">
        <v>286</v>
      </c>
      <c r="C10" s="20" t="s">
        <v>287</v>
      </c>
      <c r="D10" s="20" t="s">
        <v>288</v>
      </c>
      <c r="E10" s="20" t="s">
        <v>52</v>
      </c>
      <c r="F10" s="20" t="s">
        <v>52</v>
      </c>
      <c r="G10" s="20" t="s">
        <v>289</v>
      </c>
      <c r="H10" s="20" t="s">
        <v>68</v>
      </c>
      <c r="I10" s="20" t="s">
        <v>154</v>
      </c>
      <c r="J10" s="20" t="s">
        <v>266</v>
      </c>
    </row>
    <row r="11" spans="1:11" x14ac:dyDescent="0.2">
      <c r="A11" s="20" t="s">
        <v>290</v>
      </c>
      <c r="B11" s="20" t="s">
        <v>291</v>
      </c>
      <c r="C11" s="20" t="s">
        <v>292</v>
      </c>
      <c r="D11" s="20" t="s">
        <v>69</v>
      </c>
      <c r="E11" s="20" t="s">
        <v>69</v>
      </c>
      <c r="F11" s="20" t="s">
        <v>69</v>
      </c>
      <c r="G11" s="20" t="s">
        <v>293</v>
      </c>
      <c r="H11" s="20" t="s">
        <v>60</v>
      </c>
      <c r="I11" s="20" t="s">
        <v>154</v>
      </c>
      <c r="J11" s="20" t="s">
        <v>266</v>
      </c>
    </row>
    <row r="12" spans="1:11" x14ac:dyDescent="0.2">
      <c r="A12" s="20" t="s">
        <v>294</v>
      </c>
      <c r="B12" s="20" t="s">
        <v>295</v>
      </c>
      <c r="C12" s="20" t="s">
        <v>296</v>
      </c>
      <c r="D12" s="20" t="s">
        <v>69</v>
      </c>
      <c r="E12" s="20" t="s">
        <v>69</v>
      </c>
      <c r="F12" s="20" t="s">
        <v>69</v>
      </c>
      <c r="G12" s="20" t="s">
        <v>297</v>
      </c>
      <c r="H12" s="20" t="s">
        <v>60</v>
      </c>
      <c r="I12" s="20" t="s">
        <v>154</v>
      </c>
      <c r="J12" s="20" t="s">
        <v>266</v>
      </c>
    </row>
    <row r="13" spans="1:11" x14ac:dyDescent="0.2">
      <c r="A13" s="20" t="s">
        <v>298</v>
      </c>
      <c r="B13" s="20" t="s">
        <v>299</v>
      </c>
      <c r="C13" s="20" t="s">
        <v>77</v>
      </c>
      <c r="D13" s="20" t="s">
        <v>69</v>
      </c>
      <c r="E13" s="20" t="s">
        <v>69</v>
      </c>
      <c r="F13" s="20" t="s">
        <v>69</v>
      </c>
      <c r="G13" s="20" t="s">
        <v>300</v>
      </c>
      <c r="H13" s="20" t="s">
        <v>301</v>
      </c>
      <c r="I13" s="20" t="s">
        <v>154</v>
      </c>
      <c r="J13" s="20" t="s">
        <v>266</v>
      </c>
    </row>
    <row r="14" spans="1:11" x14ac:dyDescent="0.2">
      <c r="A14" s="20" t="s">
        <v>302</v>
      </c>
      <c r="B14" s="20" t="s">
        <v>303</v>
      </c>
      <c r="C14" s="20" t="s">
        <v>304</v>
      </c>
      <c r="D14" s="20" t="s">
        <v>69</v>
      </c>
      <c r="E14" s="20" t="s">
        <v>52</v>
      </c>
      <c r="F14" s="20" t="s">
        <v>52</v>
      </c>
      <c r="G14" s="20" t="s">
        <v>305</v>
      </c>
      <c r="H14" s="20" t="s">
        <v>60</v>
      </c>
      <c r="I14" s="20" t="s">
        <v>154</v>
      </c>
      <c r="J14" s="20" t="s">
        <v>266</v>
      </c>
    </row>
    <row r="15" spans="1:11" ht="42.75" x14ac:dyDescent="0.2">
      <c r="A15" s="20" t="s">
        <v>306</v>
      </c>
      <c r="B15" s="20" t="s">
        <v>307</v>
      </c>
      <c r="C15" s="20" t="s">
        <v>308</v>
      </c>
      <c r="D15" s="20" t="s">
        <v>69</v>
      </c>
      <c r="E15" s="20" t="s">
        <v>52</v>
      </c>
      <c r="F15" s="20" t="s">
        <v>52</v>
      </c>
      <c r="G15" s="20" t="s">
        <v>309</v>
      </c>
      <c r="H15" s="20" t="s">
        <v>60</v>
      </c>
      <c r="I15" s="20" t="s">
        <v>154</v>
      </c>
      <c r="J15" s="20" t="s">
        <v>310</v>
      </c>
      <c r="K15" s="16" t="s">
        <v>311</v>
      </c>
    </row>
    <row r="16" spans="1:11" ht="42" customHeight="1" x14ac:dyDescent="0.2">
      <c r="A16" s="20" t="s">
        <v>312</v>
      </c>
      <c r="B16" s="20" t="s">
        <v>313</v>
      </c>
      <c r="C16" s="20" t="s">
        <v>314</v>
      </c>
      <c r="D16" s="20" t="s">
        <v>69</v>
      </c>
      <c r="E16" s="20" t="s">
        <v>52</v>
      </c>
      <c r="F16" s="20" t="s">
        <v>52</v>
      </c>
      <c r="G16" s="20" t="s">
        <v>315</v>
      </c>
      <c r="H16" s="20" t="s">
        <v>60</v>
      </c>
      <c r="I16" s="20" t="s">
        <v>154</v>
      </c>
      <c r="J16" s="20" t="s">
        <v>316</v>
      </c>
      <c r="K16" s="16" t="s">
        <v>317</v>
      </c>
    </row>
  </sheetData>
  <mergeCells count="2">
    <mergeCell ref="A1:J1"/>
    <mergeCell ref="A2:J2"/>
  </mergeCells>
  <conditionalFormatting sqref="I5:I16">
    <cfRule type="cellIs" dxfId="80" priority="1" operator="equal">
      <formula>"Completed"</formula>
    </cfRule>
    <cfRule type="cellIs" dxfId="79" priority="2" operator="equal">
      <formula>"Pending Evidence"</formula>
    </cfRule>
    <cfRule type="cellIs" dxfId="78" priority="3" operator="equal">
      <formula>"Open"</formula>
    </cfRule>
  </conditionalFormatting>
  <dataValidations count="1">
    <dataValidation type="list" allowBlank="1" sqref="I5:I16" xr:uid="{D737EB54-364B-49A0-A6D4-420E11224259}">
      <formula1>"Open,In Progress,Active,Completed,Pending Evidence,Resolved,Closed,PM Control"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FE17-E052-4F4F-8465-AD09A055E672}">
  <dimension ref="A1:B13"/>
  <sheetViews>
    <sheetView workbookViewId="0">
      <selection activeCell="A2" sqref="A2:B2"/>
    </sheetView>
  </sheetViews>
  <sheetFormatPr defaultRowHeight="14.25" x14ac:dyDescent="0.2"/>
  <cols>
    <col min="1" max="1" width="41.28515625" style="16" customWidth="1"/>
    <col min="2" max="2" width="118.42578125" style="16" customWidth="1"/>
    <col min="3" max="16384" width="9.140625" style="16"/>
  </cols>
  <sheetData>
    <row r="1" spans="1:2" ht="20.25" x14ac:dyDescent="0.3">
      <c r="A1" s="22" t="s">
        <v>318</v>
      </c>
      <c r="B1" s="22"/>
    </row>
    <row r="2" spans="1:2" x14ac:dyDescent="0.2">
      <c r="A2" s="23" t="s">
        <v>319</v>
      </c>
      <c r="B2" s="23"/>
    </row>
    <row r="4" spans="1:2" x14ac:dyDescent="0.2">
      <c r="A4" s="24" t="s">
        <v>320</v>
      </c>
      <c r="B4" s="24" t="s">
        <v>321</v>
      </c>
    </row>
    <row r="5" spans="1:2" x14ac:dyDescent="0.2">
      <c r="A5" s="20" t="s">
        <v>322</v>
      </c>
      <c r="B5" s="20" t="s">
        <v>323</v>
      </c>
    </row>
    <row r="6" spans="1:2" x14ac:dyDescent="0.2">
      <c r="A6" s="20" t="s">
        <v>324</v>
      </c>
      <c r="B6" s="20" t="s">
        <v>325</v>
      </c>
    </row>
    <row r="7" spans="1:2" x14ac:dyDescent="0.2">
      <c r="A7" s="20" t="s">
        <v>326</v>
      </c>
      <c r="B7" s="20" t="s">
        <v>327</v>
      </c>
    </row>
    <row r="8" spans="1:2" x14ac:dyDescent="0.2">
      <c r="A8" s="20" t="s">
        <v>328</v>
      </c>
      <c r="B8" s="20" t="s">
        <v>329</v>
      </c>
    </row>
    <row r="9" spans="1:2" x14ac:dyDescent="0.2">
      <c r="A9" s="20" t="s">
        <v>330</v>
      </c>
      <c r="B9" s="20" t="s">
        <v>331</v>
      </c>
    </row>
    <row r="10" spans="1:2" x14ac:dyDescent="0.2">
      <c r="A10" s="20" t="s">
        <v>332</v>
      </c>
      <c r="B10" s="20" t="s">
        <v>333</v>
      </c>
    </row>
    <row r="11" spans="1:2" x14ac:dyDescent="0.2">
      <c r="A11" s="20" t="s">
        <v>334</v>
      </c>
      <c r="B11" s="20" t="s">
        <v>335</v>
      </c>
    </row>
    <row r="12" spans="1:2" x14ac:dyDescent="0.2">
      <c r="A12" s="20" t="s">
        <v>336</v>
      </c>
      <c r="B12" s="20" t="s">
        <v>337</v>
      </c>
    </row>
    <row r="13" spans="1:2" x14ac:dyDescent="0.2">
      <c r="A13" s="20" t="s">
        <v>338</v>
      </c>
      <c r="B13" s="20" t="s">
        <v>339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5E77-3DD8-4FDB-A061-2A63FE078C9A}">
  <dimension ref="A1:I9"/>
  <sheetViews>
    <sheetView zoomScale="90" zoomScaleNormal="90" workbookViewId="0">
      <selection sqref="A1:XFD1048576"/>
    </sheetView>
  </sheetViews>
  <sheetFormatPr defaultRowHeight="14.25" x14ac:dyDescent="0.2"/>
  <cols>
    <col min="1" max="1" width="12.7109375" style="16" bestFit="1" customWidth="1"/>
    <col min="2" max="2" width="135" style="16" bestFit="1" customWidth="1"/>
    <col min="3" max="3" width="46" style="16" bestFit="1" customWidth="1"/>
    <col min="4" max="4" width="66.85546875" style="16" customWidth="1"/>
    <col min="5" max="5" width="12.7109375" style="16" bestFit="1" customWidth="1"/>
    <col min="6" max="6" width="26.28515625" style="16" bestFit="1" customWidth="1"/>
    <col min="7" max="7" width="11.5703125" style="16" bestFit="1" customWidth="1"/>
    <col min="8" max="8" width="122.28515625" style="16" bestFit="1" customWidth="1"/>
    <col min="9" max="9" width="26.7109375" style="16" bestFit="1" customWidth="1"/>
    <col min="10" max="16384" width="9.140625" style="16"/>
  </cols>
  <sheetData>
    <row r="1" spans="1:9" ht="20.25" x14ac:dyDescent="0.2">
      <c r="A1" s="15" t="s">
        <v>369</v>
      </c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17" t="s">
        <v>368</v>
      </c>
      <c r="B2" s="17"/>
      <c r="C2" s="17"/>
      <c r="D2" s="17"/>
      <c r="E2" s="17"/>
      <c r="F2" s="17"/>
      <c r="G2" s="17"/>
      <c r="H2" s="17"/>
      <c r="I2" s="17"/>
    </row>
    <row r="4" spans="1:9" x14ac:dyDescent="0.2">
      <c r="A4" s="18" t="s">
        <v>141</v>
      </c>
      <c r="B4" s="18" t="s">
        <v>367</v>
      </c>
      <c r="C4" s="18" t="s">
        <v>366</v>
      </c>
      <c r="D4" s="18" t="s">
        <v>145</v>
      </c>
      <c r="E4" s="18" t="s">
        <v>94</v>
      </c>
      <c r="F4" s="18" t="s">
        <v>93</v>
      </c>
      <c r="G4" s="18" t="s">
        <v>38</v>
      </c>
      <c r="H4" s="18" t="s">
        <v>92</v>
      </c>
      <c r="I4" s="18" t="s">
        <v>365</v>
      </c>
    </row>
    <row r="5" spans="1:9" x14ac:dyDescent="0.2">
      <c r="A5" s="19" t="s">
        <v>364</v>
      </c>
      <c r="B5" s="19" t="s">
        <v>363</v>
      </c>
      <c r="C5" s="19" t="s">
        <v>362</v>
      </c>
      <c r="D5" s="20" t="s">
        <v>361</v>
      </c>
      <c r="E5" s="19" t="s">
        <v>52</v>
      </c>
      <c r="F5" s="19" t="s">
        <v>341</v>
      </c>
      <c r="G5" s="19" t="s">
        <v>154</v>
      </c>
      <c r="H5" s="19" t="s">
        <v>360</v>
      </c>
      <c r="I5" s="19" t="s">
        <v>52</v>
      </c>
    </row>
    <row r="6" spans="1:9" ht="42.75" x14ac:dyDescent="0.2">
      <c r="A6" s="19" t="s">
        <v>359</v>
      </c>
      <c r="B6" s="19" t="s">
        <v>358</v>
      </c>
      <c r="C6" s="19" t="s">
        <v>357</v>
      </c>
      <c r="D6" s="20" t="s">
        <v>356</v>
      </c>
      <c r="E6" s="19" t="s">
        <v>52</v>
      </c>
      <c r="F6" s="19" t="s">
        <v>355</v>
      </c>
      <c r="G6" s="19" t="s">
        <v>154</v>
      </c>
      <c r="H6" s="19" t="s">
        <v>354</v>
      </c>
      <c r="I6" s="19" t="s">
        <v>52</v>
      </c>
    </row>
    <row r="7" spans="1:9" x14ac:dyDescent="0.2">
      <c r="A7" s="19" t="s">
        <v>353</v>
      </c>
      <c r="B7" s="19" t="s">
        <v>159</v>
      </c>
      <c r="C7" s="19" t="s">
        <v>352</v>
      </c>
      <c r="D7" s="20" t="s">
        <v>351</v>
      </c>
      <c r="E7" s="19" t="s">
        <v>69</v>
      </c>
      <c r="F7" s="19" t="s">
        <v>60</v>
      </c>
      <c r="G7" s="19" t="s">
        <v>154</v>
      </c>
      <c r="H7" s="19" t="s">
        <v>350</v>
      </c>
      <c r="I7" s="19" t="s">
        <v>69</v>
      </c>
    </row>
    <row r="8" spans="1:9" x14ac:dyDescent="0.2">
      <c r="A8" s="19" t="s">
        <v>349</v>
      </c>
      <c r="B8" s="19" t="s">
        <v>348</v>
      </c>
      <c r="C8" s="19" t="s">
        <v>108</v>
      </c>
      <c r="D8" s="20" t="s">
        <v>347</v>
      </c>
      <c r="E8" s="19" t="s">
        <v>52</v>
      </c>
      <c r="F8" s="19" t="s">
        <v>60</v>
      </c>
      <c r="G8" s="19" t="s">
        <v>154</v>
      </c>
      <c r="H8" s="19" t="s">
        <v>346</v>
      </c>
      <c r="I8" s="19" t="s">
        <v>52</v>
      </c>
    </row>
    <row r="9" spans="1:9" x14ac:dyDescent="0.2">
      <c r="A9" s="21" t="s">
        <v>345</v>
      </c>
      <c r="B9" s="21" t="s">
        <v>344</v>
      </c>
      <c r="C9" s="21" t="s">
        <v>343</v>
      </c>
      <c r="D9" s="16" t="s">
        <v>342</v>
      </c>
      <c r="E9" s="21" t="s">
        <v>52</v>
      </c>
      <c r="F9" s="21" t="s">
        <v>341</v>
      </c>
      <c r="G9" s="21" t="s">
        <v>154</v>
      </c>
      <c r="H9" s="21" t="s">
        <v>340</v>
      </c>
      <c r="I9" s="21" t="s">
        <v>52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5025-BC04-414D-ADB9-F335FD7257ED}">
  <dimension ref="A1:J9"/>
  <sheetViews>
    <sheetView zoomScale="96" zoomScaleNormal="96" workbookViewId="0">
      <selection activeCell="C16" sqref="C16"/>
    </sheetView>
  </sheetViews>
  <sheetFormatPr defaultRowHeight="14.25" x14ac:dyDescent="0.2"/>
  <cols>
    <col min="1" max="1" width="15.7109375" style="16" customWidth="1"/>
    <col min="2" max="2" width="30.28515625" style="16" customWidth="1"/>
    <col min="3" max="3" width="73.42578125" style="16" bestFit="1" customWidth="1"/>
    <col min="4" max="4" width="99.85546875" style="16" customWidth="1"/>
    <col min="5" max="5" width="105.140625" style="16" bestFit="1" customWidth="1"/>
    <col min="6" max="6" width="100.5703125" style="16" bestFit="1" customWidth="1"/>
    <col min="7" max="7" width="101.5703125" style="16" customWidth="1"/>
    <col min="8" max="8" width="86.28515625" style="16" bestFit="1" customWidth="1"/>
    <col min="9" max="9" width="60.85546875" style="16" bestFit="1" customWidth="1"/>
    <col min="10" max="16384" width="9.140625" style="16"/>
  </cols>
  <sheetData>
    <row r="1" spans="1:10" ht="20.25" x14ac:dyDescent="0.2">
      <c r="A1" s="15" t="s">
        <v>370</v>
      </c>
      <c r="B1" s="15"/>
      <c r="C1" s="15"/>
      <c r="D1" s="15"/>
      <c r="E1" s="15"/>
      <c r="F1" s="15"/>
      <c r="G1" s="15"/>
      <c r="H1" s="15"/>
      <c r="I1" s="15"/>
    </row>
    <row r="2" spans="1:10" x14ac:dyDescent="0.2">
      <c r="A2" s="17" t="s">
        <v>371</v>
      </c>
      <c r="B2" s="17"/>
      <c r="C2" s="17"/>
      <c r="D2" s="17"/>
      <c r="E2" s="17"/>
      <c r="F2" s="17"/>
      <c r="G2" s="17"/>
      <c r="H2" s="17"/>
      <c r="I2" s="17"/>
    </row>
    <row r="4" spans="1:10" x14ac:dyDescent="0.2">
      <c r="A4" s="18" t="s">
        <v>372</v>
      </c>
      <c r="B4" s="18" t="s">
        <v>373</v>
      </c>
      <c r="C4" s="18" t="s">
        <v>374</v>
      </c>
      <c r="D4" s="18" t="s">
        <v>375</v>
      </c>
      <c r="E4" s="18" t="s">
        <v>376</v>
      </c>
      <c r="F4" s="18" t="s">
        <v>377</v>
      </c>
      <c r="G4" s="18" t="s">
        <v>378</v>
      </c>
      <c r="H4" s="18" t="s">
        <v>91</v>
      </c>
      <c r="I4" s="18" t="s">
        <v>38</v>
      </c>
    </row>
    <row r="5" spans="1:10" ht="42.75" x14ac:dyDescent="0.2">
      <c r="A5" s="19" t="s">
        <v>379</v>
      </c>
      <c r="B5" s="19" t="s">
        <v>36</v>
      </c>
      <c r="C5" s="19" t="s">
        <v>380</v>
      </c>
      <c r="D5" s="20" t="s">
        <v>381</v>
      </c>
      <c r="E5" s="19" t="s">
        <v>382</v>
      </c>
      <c r="F5" s="20" t="s">
        <v>383</v>
      </c>
      <c r="G5" s="20" t="s">
        <v>384</v>
      </c>
      <c r="H5" s="20" t="s">
        <v>385</v>
      </c>
      <c r="I5" s="19" t="s">
        <v>220</v>
      </c>
    </row>
    <row r="6" spans="1:10" x14ac:dyDescent="0.2">
      <c r="A6" s="19" t="s">
        <v>386</v>
      </c>
      <c r="B6" s="19" t="s">
        <v>24</v>
      </c>
      <c r="C6" s="19" t="s">
        <v>387</v>
      </c>
      <c r="D6" s="20" t="s">
        <v>388</v>
      </c>
      <c r="E6" s="19" t="s">
        <v>389</v>
      </c>
      <c r="F6" s="20" t="s">
        <v>390</v>
      </c>
      <c r="G6" s="20" t="s">
        <v>391</v>
      </c>
      <c r="H6" s="20" t="s">
        <v>392</v>
      </c>
      <c r="I6" s="19" t="s">
        <v>0</v>
      </c>
    </row>
    <row r="7" spans="1:10" x14ac:dyDescent="0.2">
      <c r="A7" s="19" t="s">
        <v>393</v>
      </c>
      <c r="B7" s="19" t="s">
        <v>25</v>
      </c>
      <c r="C7" s="19" t="s">
        <v>394</v>
      </c>
      <c r="D7" s="20" t="s">
        <v>388</v>
      </c>
      <c r="E7" s="19" t="s">
        <v>395</v>
      </c>
      <c r="F7" s="20" t="s">
        <v>390</v>
      </c>
      <c r="G7" s="20" t="s">
        <v>391</v>
      </c>
      <c r="H7" s="20" t="s">
        <v>392</v>
      </c>
      <c r="I7" s="19" t="s">
        <v>0</v>
      </c>
    </row>
    <row r="8" spans="1:10" x14ac:dyDescent="0.2">
      <c r="A8" s="19" t="s">
        <v>396</v>
      </c>
      <c r="B8" s="19" t="s">
        <v>128</v>
      </c>
      <c r="C8" s="19" t="s">
        <v>397</v>
      </c>
      <c r="D8" s="20" t="s">
        <v>388</v>
      </c>
      <c r="E8" s="19" t="s">
        <v>398</v>
      </c>
      <c r="F8" s="20" t="s">
        <v>390</v>
      </c>
      <c r="G8" s="20" t="s">
        <v>391</v>
      </c>
      <c r="H8" s="20" t="s">
        <v>392</v>
      </c>
      <c r="I8" s="19" t="s">
        <v>0</v>
      </c>
    </row>
    <row r="9" spans="1:10" x14ac:dyDescent="0.2">
      <c r="A9" s="21" t="s">
        <v>399</v>
      </c>
      <c r="B9" s="21" t="s">
        <v>400</v>
      </c>
      <c r="C9" s="21" t="s">
        <v>401</v>
      </c>
      <c r="D9" s="16" t="s">
        <v>402</v>
      </c>
      <c r="E9" s="21" t="s">
        <v>403</v>
      </c>
      <c r="F9" s="16" t="s">
        <v>404</v>
      </c>
      <c r="G9" s="16" t="s">
        <v>405</v>
      </c>
      <c r="H9" s="16" t="s">
        <v>406</v>
      </c>
      <c r="I9" s="21" t="s">
        <v>407</v>
      </c>
      <c r="J9" s="16" t="s">
        <v>408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Integration Map</vt:lpstr>
      <vt:lpstr>Integration Register</vt:lpstr>
      <vt:lpstr>Integration Readiness</vt:lpstr>
      <vt:lpstr>Integration Issue Log</vt:lpstr>
      <vt:lpstr>Decision Log</vt:lpstr>
      <vt:lpstr>Updated Timeline</vt:lpstr>
      <vt:lpstr>Updated Risk Register</vt:lpstr>
      <vt:lpstr>Read Me</vt:lpstr>
      <vt:lpstr>Unresolved Issues</vt:lpstr>
      <vt:lpstr>Cross-Track Coordination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2026-09-11T19:02:44Z</dcterms:created>
  <dcterms:modified xsi:type="dcterms:W3CDTF">2026-09-11T20:25:25Z</dcterms:modified>
</cp:coreProperties>
</file>